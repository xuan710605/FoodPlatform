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odexProjects\FoodPlatfrom\"/>
    </mc:Choice>
  </mc:AlternateContent>
  <xr:revisionPtr revIDLastSave="0" documentId="13_ncr:1_{64308795-DD56-49D8-B248-8811860A571C}" xr6:coauthVersionLast="47" xr6:coauthVersionMax="47" xr10:uidLastSave="{00000000-0000-0000-0000-000000000000}"/>
  <bookViews>
    <workbookView xWindow="-98" yWindow="-98" windowWidth="19396" windowHeight="11475" activeTab="5" xr2:uid="{00000000-000D-0000-FFFF-FFFF00000000}"/>
  </bookViews>
  <sheets>
    <sheet name="使用说明" sheetId="1" r:id="rId1"/>
    <sheet name="工作计划" sheetId="2" r:id="rId2"/>
    <sheet name="项目问题" sheetId="3" r:id="rId3"/>
    <sheet name="项目风险" sheetId="4" r:id="rId4"/>
    <sheet name="项目周会纪要" sheetId="5" r:id="rId5"/>
    <sheet name="交付物清单" sheetId="6" r:id="rId6"/>
    <sheet name="Sheet2" sheetId="7" r:id="rId7"/>
    <sheet name="功能实施进度表" sheetId="8" r:id="rId8"/>
  </sheets>
  <definedNames>
    <definedName name="_xlnm.Print_Titles" localSheetId="1">工作计划!$6:$9</definedName>
    <definedName name="滚动_增量" localSheetId="1">工作计划!$C$7</definedName>
    <definedName name="今天" localSheetId="1">TODAY()</definedName>
    <definedName name="项目_开始日期" localSheetId="1">工作计划!$C$6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2" l="1"/>
  <c r="H15" i="2"/>
  <c r="H14" i="2"/>
  <c r="H13" i="2"/>
  <c r="H12" i="2"/>
  <c r="H11" i="2"/>
  <c r="H10" i="2"/>
  <c r="J7" i="2"/>
  <c r="E7" i="2"/>
  <c r="H6" i="2"/>
  <c r="J9" i="2" l="1"/>
  <c r="J6" i="2"/>
  <c r="K7" i="2"/>
  <c r="K9" i="2" l="1"/>
  <c r="L7" i="2"/>
  <c r="M7" i="2" l="1"/>
  <c r="L9" i="2"/>
  <c r="N7" i="2" l="1"/>
  <c r="M9" i="2"/>
  <c r="N9" i="2" l="1"/>
  <c r="O7" i="2"/>
  <c r="P7" i="2" l="1"/>
  <c r="O9" i="2"/>
  <c r="P9" i="2" l="1"/>
  <c r="Q7" i="2"/>
  <c r="R7" i="2" l="1"/>
  <c r="Q9" i="2"/>
  <c r="Q6" i="2"/>
  <c r="R9" i="2" l="1"/>
  <c r="S7" i="2"/>
  <c r="T7" i="2" l="1"/>
  <c r="S9" i="2"/>
  <c r="T9" i="2" l="1"/>
  <c r="U7" i="2"/>
  <c r="V7" i="2" l="1"/>
  <c r="U9" i="2"/>
  <c r="W7" i="2" l="1"/>
  <c r="V9" i="2"/>
  <c r="X7" i="2" l="1"/>
  <c r="W9" i="2"/>
  <c r="Y7" i="2" l="1"/>
  <c r="X9" i="2"/>
  <c r="X6" i="2"/>
  <c r="Z7" i="2" l="1"/>
  <c r="Y9" i="2"/>
  <c r="AA7" i="2" l="1"/>
  <c r="Z9" i="2"/>
  <c r="AB7" i="2" l="1"/>
  <c r="AA9" i="2"/>
  <c r="AC7" i="2" l="1"/>
  <c r="AB9" i="2"/>
  <c r="AD7" i="2" l="1"/>
  <c r="AC9" i="2"/>
  <c r="AE7" i="2" l="1"/>
  <c r="AD9" i="2"/>
  <c r="AF7" i="2" l="1"/>
  <c r="AE6" i="2"/>
  <c r="AE9" i="2"/>
  <c r="AG7" i="2" l="1"/>
  <c r="AF9" i="2"/>
  <c r="AH7" i="2" l="1"/>
  <c r="AG9" i="2"/>
  <c r="AH9" i="2" l="1"/>
  <c r="AI7" i="2"/>
  <c r="AJ7" i="2" l="1"/>
  <c r="AI9" i="2"/>
  <c r="AJ9" i="2" l="1"/>
  <c r="AK7" i="2"/>
  <c r="AK9" i="2" l="1"/>
  <c r="AL7" i="2"/>
  <c r="AL6" i="2" l="1"/>
  <c r="AM7" i="2"/>
  <c r="AL9" i="2"/>
  <c r="AM9" i="2" l="1"/>
  <c r="AN7" i="2"/>
  <c r="AN9" i="2" l="1"/>
  <c r="AO7" i="2"/>
  <c r="AO9" i="2" l="1"/>
  <c r="AP7" i="2"/>
  <c r="AP9" i="2" l="1"/>
  <c r="AQ7" i="2"/>
  <c r="AR7" i="2" l="1"/>
  <c r="AQ9" i="2"/>
  <c r="AR9" i="2" l="1"/>
  <c r="AS7" i="2"/>
  <c r="AS6" i="2" l="1"/>
  <c r="AS9" i="2"/>
  <c r="AT7" i="2"/>
  <c r="AT9" i="2" l="1"/>
  <c r="AU7" i="2"/>
  <c r="AV7" i="2" l="1"/>
  <c r="AU9" i="2"/>
  <c r="AV9" i="2" l="1"/>
  <c r="AW7" i="2"/>
  <c r="AX7" i="2" l="1"/>
  <c r="AW9" i="2"/>
  <c r="AX9" i="2" l="1"/>
  <c r="AY7" i="2"/>
  <c r="AZ7" i="2" l="1"/>
  <c r="AY9" i="2"/>
  <c r="AZ9" i="2" l="1"/>
  <c r="AZ6" i="2"/>
  <c r="BA7" i="2"/>
  <c r="BB7" i="2" l="1"/>
  <c r="BA9" i="2"/>
  <c r="BC7" i="2" l="1"/>
  <c r="BB9" i="2"/>
  <c r="BD7" i="2" l="1"/>
  <c r="BC9" i="2"/>
  <c r="BE7" i="2" l="1"/>
  <c r="BD9" i="2"/>
  <c r="BF7" i="2" l="1"/>
  <c r="BE9" i="2"/>
  <c r="BG7" i="2" l="1"/>
  <c r="BF9" i="2"/>
  <c r="BH7" i="2" l="1"/>
  <c r="BG6" i="2"/>
  <c r="BG9" i="2"/>
  <c r="BI7" i="2" l="1"/>
  <c r="BH9" i="2"/>
  <c r="BJ7" i="2" l="1"/>
  <c r="BI9" i="2"/>
  <c r="BK7" i="2" l="1"/>
  <c r="BJ9" i="2"/>
  <c r="BL7" i="2" l="1"/>
  <c r="BK9" i="2"/>
  <c r="BM7" i="2" l="1"/>
  <c r="BM9" i="2" s="1"/>
  <c r="BL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6" authorId="0" shapeId="0" xr:uid="{00000000-0006-0000-0100-000001000000}">
      <text>
        <r>
          <rPr>
            <sz val="11"/>
            <color theme="1"/>
            <rFont val="Microsoft YaHei UI"/>
          </rPr>
          <t>作者:
输出：
1.污染源某站房运维计划（2021年）范例，以Excel文件形式展现</t>
        </r>
      </text>
    </comment>
    <comment ref="B19" authorId="0" shapeId="0" xr:uid="{00000000-0006-0000-0100-000002000000}">
      <text>
        <r>
          <rPr>
            <sz val="11"/>
            <color theme="1"/>
            <rFont val="Microsoft YaHei UI"/>
          </rPr>
          <t>作者:
输出：
1.资产管理出库流程图 ；
2.资产管理入库流程图 ；
3.资产管理报废流程图；
4.资产管理维修流程图；
5.站房物资申请流程图；</t>
        </r>
      </text>
    </comment>
    <comment ref="B21" authorId="0" shapeId="0" xr:uid="{00000000-0006-0000-0100-000003000000}">
      <text>
        <r>
          <rPr>
            <sz val="11"/>
            <color theme="1"/>
            <rFont val="Microsoft YaHei UI"/>
          </rPr>
          <t>作者:
输出：
1.运维计划智能策略方案文档，方案中描述哪些任务可以使用智慧运营策略实施，并给出智能策略设计方案（定时、事件、触发条件等）</t>
        </r>
      </text>
    </comment>
    <comment ref="B22" authorId="0" shapeId="0" xr:uid="{00000000-0006-0000-0100-000004000000}">
      <text>
        <r>
          <rPr>
            <sz val="11"/>
            <color theme="1"/>
            <rFont val="Microsoft YaHei UI"/>
          </rPr>
          <t>作者:
输出：
1.云璟科技污染源智慧运营技术标准规范，文档应包括运维计划、智慧运营策略、事件响应流程及策略。</t>
        </r>
      </text>
    </comment>
    <comment ref="B33" authorId="0" shapeId="0" xr:uid="{00000000-0006-0000-0100-000005000000}">
      <text>
        <r>
          <rPr>
            <sz val="11"/>
            <color theme="1"/>
            <rFont val="Microsoft YaHei UI"/>
          </rPr>
          <t>作者:
1.提醒内容包括：
超标警告、缺数警告、恒值警告、故障警告；
2.警告发生后允许自动/手动生成任务。
目标：应用到C2栋一楼实验环境试运行</t>
        </r>
      </text>
    </comment>
    <comment ref="B34" authorId="0" shapeId="0" xr:uid="{00000000-0006-0000-0100-000006000000}">
      <text>
        <r>
          <rPr>
            <sz val="11"/>
            <color theme="1"/>
            <rFont val="Microsoft YaHei UI"/>
          </rPr>
          <t>作者:
1.完成车辆备案；
2.完成车辆定位仪安装调试；
3.完成车辆使用流程导入；</t>
        </r>
      </text>
    </comment>
    <comment ref="B36" authorId="0" shapeId="0" xr:uid="{00000000-0006-0000-0100-000007000000}">
      <text>
        <r>
          <rPr>
            <sz val="11"/>
            <color theme="1"/>
            <rFont val="Microsoft YaHei UI"/>
          </rPr>
          <t>作者:
1.现场运维任务；
2.智能策略；
目标：应用到测试站房（C2栋一楼）试运行</t>
        </r>
      </text>
    </comment>
  </commentList>
</comments>
</file>

<file path=xl/sharedStrings.xml><?xml version="1.0" encoding="utf-8"?>
<sst xmlns="http://schemas.openxmlformats.org/spreadsheetml/2006/main" count="191" uniqueCount="132">
  <si>
    <t>关于此甘特图</t>
  </si>
  <si>
    <t xml:space="preserve">• 输入滚动增量（整数）或者跳转日期可以修改当前显示日期范围。
• 使用“进度”可通过添加百分比数字来添加已完成的项目量。
• 在“开始日期”添加项目的启动日期。
• 通过在“天数”字段中填写完成项目所需的天数来完成计算。 </t>
  </si>
  <si>
    <t>团队成员：</t>
  </si>
  <si>
    <t>图例：</t>
  </si>
  <si>
    <t>正常</t>
  </si>
  <si>
    <t>低风险</t>
  </si>
  <si>
    <t>中风险</t>
  </si>
  <si>
    <t>高风险</t>
  </si>
  <si>
    <t>未分配</t>
  </si>
  <si>
    <t>项目目标：</t>
  </si>
  <si>
    <t>项目开始日期：</t>
  </si>
  <si>
    <t>项目结束日期：</t>
  </si>
  <si>
    <t>工期：</t>
  </si>
  <si>
    <t>6月</t>
  </si>
  <si>
    <t>滚动增量：</t>
  </si>
  <si>
    <t>日期跳转到：</t>
  </si>
  <si>
    <t>里程碑描述</t>
  </si>
  <si>
    <t>类别</t>
  </si>
  <si>
    <t>责任人</t>
  </si>
  <si>
    <t>进度</t>
  </si>
  <si>
    <t>开始日期</t>
  </si>
  <si>
    <t>截止日期</t>
  </si>
  <si>
    <t>天数</t>
  </si>
  <si>
    <t>项目问题跟踪表</t>
  </si>
  <si>
    <t>序号</t>
  </si>
  <si>
    <t>标识</t>
  </si>
  <si>
    <t>名称</t>
  </si>
  <si>
    <t>发现人</t>
  </si>
  <si>
    <t>发现时间</t>
  </si>
  <si>
    <t>所属阶段</t>
  </si>
  <si>
    <t>问题类型</t>
  </si>
  <si>
    <t>严重等级</t>
  </si>
  <si>
    <t>优先级</t>
  </si>
  <si>
    <t>是否已解决</t>
  </si>
  <si>
    <t>计划关闭时间</t>
  </si>
  <si>
    <t>SM_YJ_PP_001</t>
  </si>
  <si>
    <t>污染源运维计划范例进度延后</t>
  </si>
  <si>
    <t>杨永红</t>
  </si>
  <si>
    <t>需求分析阶段</t>
  </si>
  <si>
    <t>中</t>
  </si>
  <si>
    <t>已解决</t>
  </si>
  <si>
    <t>XXX</t>
  </si>
  <si>
    <t>备注：</t>
  </si>
  <si>
    <t>1. 所属阶段：即项目执行的阶段，如启动阶段、设计阶段、开发阶段或者收尾阶段等；</t>
  </si>
  <si>
    <t>2. 严重等级/优先级：分为“高”、“中”、“低”三个级别，由项目软件负责人自行进行分析判断；</t>
  </si>
  <si>
    <t>3. 是否解决：分为“已解决”、“解决中”，“未解决”三种状态。</t>
  </si>
  <si>
    <t>问题标识</t>
  </si>
  <si>
    <t>问题名称</t>
  </si>
  <si>
    <t>发现阶段</t>
  </si>
  <si>
    <t>关闭时间</t>
  </si>
  <si>
    <t>创建人</t>
  </si>
  <si>
    <t>问题描述</t>
  </si>
  <si>
    <t>影响分析</t>
  </si>
  <si>
    <t>纠正措施</t>
  </si>
  <si>
    <t>验证结果</t>
  </si>
  <si>
    <t>项目风险记录表</t>
  </si>
  <si>
    <t>风险名称</t>
  </si>
  <si>
    <t>风险类型</t>
  </si>
  <si>
    <t>风险概率</t>
  </si>
  <si>
    <t>影响程度</t>
  </si>
  <si>
    <t>风险系数</t>
  </si>
  <si>
    <t>风险范围</t>
  </si>
  <si>
    <t>风险状态</t>
  </si>
  <si>
    <t>影响时期</t>
  </si>
  <si>
    <t>识别日期</t>
  </si>
  <si>
    <t>跟踪日期</t>
  </si>
  <si>
    <t>跟踪人</t>
  </si>
  <si>
    <t>风险跟踪记录表</t>
  </si>
  <si>
    <t>跟踪时间</t>
  </si>
  <si>
    <t>应对措施</t>
  </si>
  <si>
    <t>结果</t>
  </si>
  <si>
    <t>状态</t>
  </si>
  <si>
    <t>会议名称</t>
  </si>
  <si>
    <t>会议时间</t>
  </si>
  <si>
    <t>会议地点</t>
  </si>
  <si>
    <t>会议主题</t>
  </si>
  <si>
    <t>主持人</t>
  </si>
  <si>
    <t>记录人</t>
  </si>
  <si>
    <t>议定</t>
  </si>
  <si>
    <t>未决事项</t>
  </si>
  <si>
    <t>项目交付物清单</t>
  </si>
  <si>
    <t>#</t>
  </si>
  <si>
    <t>阶段</t>
  </si>
  <si>
    <t>交付物</t>
  </si>
  <si>
    <t>交付类型</t>
  </si>
  <si>
    <t>负责人</t>
  </si>
  <si>
    <t>计划交付时间</t>
  </si>
  <si>
    <t>实际交付时间</t>
  </si>
  <si>
    <t>实施阶段</t>
  </si>
  <si>
    <t>文档</t>
  </si>
  <si>
    <t>试运行阶段</t>
  </si>
  <si>
    <t>试运行总结报告</t>
  </si>
  <si>
    <t>软件</t>
  </si>
  <si>
    <t>推广阶段</t>
  </si>
  <si>
    <t>云璟科技污染源在线监测设备运维管理体系</t>
  </si>
  <si>
    <t>总则</t>
  </si>
  <si>
    <t>管理类</t>
  </si>
  <si>
    <t>运维计划</t>
  </si>
  <si>
    <t>工程类</t>
  </si>
  <si>
    <t>参考资料</t>
  </si>
  <si>
    <t>XXXXXXX运营实施功能进度表</t>
  </si>
  <si>
    <t>功能分组</t>
  </si>
  <si>
    <t>功能</t>
  </si>
  <si>
    <t>所属模块</t>
  </si>
  <si>
    <t>研发进度</t>
  </si>
  <si>
    <t>实施进度</t>
  </si>
  <si>
    <t>备注</t>
  </si>
  <si>
    <t>站点数据实时监控-GIS视图</t>
  </si>
  <si>
    <t>GIS视图</t>
  </si>
  <si>
    <t>完成</t>
  </si>
  <si>
    <t>站点数据实时监控-数据一览表</t>
  </si>
  <si>
    <t>数据监控</t>
  </si>
  <si>
    <t>站点数据趋势分析图</t>
  </si>
  <si>
    <t>站房监控</t>
  </si>
  <si>
    <t>基于知识图谱与Qwen大模型的食品成分智能筛选电商平台系统设计与实现</t>
  </si>
  <si>
    <t>谢乐选</t>
  </si>
  <si>
    <t>需求分析文档编写与确认</t>
  </si>
  <si>
    <t>系统概要设计与技术方案确定</t>
  </si>
  <si>
    <t>数据库及食品成分知识图谱设计</t>
  </si>
  <si>
    <t>前端原型设计与核心页面开发</t>
  </si>
  <si>
    <t>后端业务接口与核心功能开发</t>
  </si>
  <si>
    <t>Qwen大模型、知识图谱与智能筛选功能集成</t>
  </si>
  <si>
    <t>系统联调、测试、部署与文档整理</t>
  </si>
  <si>
    <t>需求分析文档</t>
  </si>
  <si>
    <t>已完成</t>
  </si>
  <si>
    <t>系统概要设计文档</t>
  </si>
  <si>
    <t>未完成</t>
  </si>
  <si>
    <t>数据库设计文档及知识图谱设计文档</t>
  </si>
  <si>
    <t>前端原型及核心页面</t>
  </si>
  <si>
    <t>后端系统源码及接口文档</t>
  </si>
  <si>
    <t>AI智能筛选与知识图谱功能模块</t>
  </si>
  <si>
    <t>系统测试报告、部署文档及最终项目文件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</si>
</sst>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\(#,##0\)"/>
    <numFmt numFmtId="177" formatCode="yyyy&quot;年&quot;mm&quot;月&quot;dd&quot;日&quot;"/>
    <numFmt numFmtId="179" formatCode="yyyy/mm/dd"/>
    <numFmt numFmtId="180" formatCode="d"/>
  </numFmts>
  <fonts count="39" x14ac:knownFonts="1">
    <font>
      <sz val="11"/>
      <color theme="1"/>
      <name val="Microsoft YaHei UI"/>
    </font>
    <font>
      <sz val="22"/>
      <color theme="1"/>
      <name val="Microsoft YaHei UI"/>
      <family val="2"/>
      <charset val="134"/>
    </font>
    <font>
      <sz val="12"/>
      <color theme="1"/>
      <name val="Microsoft YaHei UI"/>
      <family val="2"/>
      <charset val="134"/>
    </font>
    <font>
      <sz val="20"/>
      <color theme="1"/>
      <name val="Microsoft YaHei UI"/>
      <family val="2"/>
      <charset val="134"/>
    </font>
    <font>
      <sz val="11"/>
      <color theme="1"/>
      <name val="微软雅黑"/>
      <family val="2"/>
      <charset val="134"/>
    </font>
    <font>
      <sz val="2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theme="0"/>
      <name val="Microsoft YaHei UI"/>
      <family val="2"/>
      <charset val="134"/>
    </font>
    <font>
      <b/>
      <sz val="26"/>
      <color theme="0"/>
      <name val="Microsoft YaHei UI"/>
      <family val="2"/>
      <charset val="134"/>
    </font>
    <font>
      <sz val="14"/>
      <color theme="0"/>
      <name val="Microsoft YaHei UI"/>
      <family val="2"/>
      <charset val="134"/>
    </font>
    <font>
      <b/>
      <sz val="22"/>
      <name val="Microsoft YaHei UI"/>
      <family val="2"/>
      <charset val="134"/>
    </font>
    <font>
      <b/>
      <sz val="20"/>
      <name val="Microsoft YaHei UI"/>
      <family val="2"/>
      <charset val="134"/>
    </font>
    <font>
      <sz val="11"/>
      <name val="Microsoft YaHei UI"/>
      <family val="2"/>
      <charset val="134"/>
    </font>
    <font>
      <sz val="14"/>
      <name val="Microsoft YaHei UI"/>
      <family val="2"/>
      <charset val="134"/>
    </font>
    <font>
      <b/>
      <sz val="14"/>
      <color theme="0"/>
      <name val="Microsoft YaHei UI"/>
      <family val="2"/>
      <charset val="134"/>
    </font>
    <font>
      <b/>
      <sz val="14"/>
      <name val="Microsoft YaHei UI"/>
      <family val="2"/>
      <charset val="134"/>
    </font>
    <font>
      <b/>
      <sz val="16"/>
      <name val="Microsoft YaHei UI"/>
      <family val="2"/>
      <charset val="134"/>
    </font>
    <font>
      <b/>
      <sz val="16"/>
      <color rgb="FF000000"/>
      <name val="Microsoft YaHei UI"/>
      <family val="2"/>
      <charset val="134"/>
    </font>
    <font>
      <sz val="16"/>
      <color rgb="FF000000"/>
      <name val="Microsoft YaHei UI"/>
      <family val="2"/>
      <charset val="134"/>
    </font>
    <font>
      <sz val="16"/>
      <color theme="1"/>
      <name val="Microsoft YaHei UI"/>
      <family val="2"/>
      <charset val="134"/>
    </font>
    <font>
      <sz val="10"/>
      <name val="Microsoft YaHei UI"/>
      <family val="2"/>
      <charset val="134"/>
    </font>
    <font>
      <b/>
      <sz val="11"/>
      <color theme="0"/>
      <name val="Microsoft YaHei UI"/>
      <family val="2"/>
      <charset val="134"/>
    </font>
    <font>
      <b/>
      <sz val="10"/>
      <color theme="0"/>
      <name val="Microsoft YaHei UI"/>
      <family val="2"/>
      <charset val="134"/>
    </font>
    <font>
      <b/>
      <sz val="10"/>
      <name val="Microsoft YaHei UI"/>
      <family val="2"/>
      <charset val="134"/>
    </font>
    <font>
      <b/>
      <sz val="11"/>
      <color rgb="FF7F6000"/>
      <name val="Microsoft YaHei UI"/>
      <family val="2"/>
      <charset val="134"/>
    </font>
    <font>
      <sz val="20"/>
      <name val="宋体"/>
      <charset val="134"/>
    </font>
    <font>
      <sz val="10"/>
      <name val="宋体"/>
      <charset val="134"/>
    </font>
    <font>
      <sz val="20"/>
      <name val="Microsoft YaHei UI"/>
      <family val="2"/>
      <charset val="134"/>
    </font>
    <font>
      <sz val="22"/>
      <name val="Microsoft YaHei UI"/>
      <family val="2"/>
      <charset val="134"/>
    </font>
    <font>
      <b/>
      <sz val="24"/>
      <color theme="0"/>
      <name val="Microsoft YaHei UI"/>
      <family val="2"/>
      <charset val="134"/>
    </font>
    <font>
      <sz val="20"/>
      <color theme="8" tint="0.59996337778862885"/>
      <name val="Microsoft YaHei UI"/>
      <family val="2"/>
      <charset val="134"/>
    </font>
    <font>
      <sz val="11"/>
      <color indexed="12"/>
      <name val="Microsoft YaHei UI"/>
      <family val="2"/>
      <charset val="134"/>
    </font>
    <font>
      <b/>
      <sz val="22"/>
      <color theme="1" tint="0.34998626667073579"/>
      <name val="Microsoft YaHei UI"/>
      <family val="2"/>
      <charset val="134"/>
    </font>
    <font>
      <sz val="14"/>
      <color theme="1"/>
      <name val="Microsoft YaHei UI"/>
      <family val="2"/>
      <charset val="134"/>
    </font>
    <font>
      <sz val="12"/>
      <name val="宋体"/>
      <charset val="134"/>
    </font>
    <font>
      <sz val="11"/>
      <color theme="1"/>
      <name val="Microsoft YaHei UI"/>
      <family val="2"/>
      <charset val="134"/>
    </font>
    <font>
      <sz val="9"/>
      <name val="宋体"/>
      <family val="3"/>
      <charset val="134"/>
    </font>
  </fonts>
  <fills count="24">
    <fill>
      <patternFill patternType="none"/>
    </fill>
    <fill>
      <patternFill patternType="gray125"/>
    </fill>
    <fill>
      <patternFill patternType="solid">
        <fgColor theme="0" tint="-0.14996795556505021"/>
        <bgColor indexed="65"/>
      </patternFill>
    </fill>
    <fill>
      <patternFill patternType="solid">
        <fgColor rgb="FFC0C0C0"/>
      </patternFill>
    </fill>
    <fill>
      <patternFill patternType="solid">
        <fgColor theme="0"/>
      </patternFill>
    </fill>
    <fill>
      <patternFill patternType="solid">
        <fgColor theme="9" tint="-0.49995422223578601"/>
        <bgColor indexed="65"/>
      </patternFill>
    </fill>
    <fill>
      <patternFill patternType="solid">
        <fgColor theme="6"/>
      </patternFill>
    </fill>
    <fill>
      <patternFill patternType="solid">
        <fgColor theme="9"/>
      </patternFill>
    </fill>
    <fill>
      <patternFill patternType="solid">
        <fgColor theme="5"/>
      </patternFill>
    </fill>
    <fill>
      <patternFill patternType="solid">
        <fgColor theme="7" tint="-0.249977111117893"/>
        <bgColor indexed="65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0" tint="-0.249977111117893"/>
        <bgColor indexed="65"/>
      </patternFill>
    </fill>
    <fill>
      <patternFill patternType="solid">
        <fgColor rgb="FFF0B42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5F9FF"/>
      </patternFill>
    </fill>
    <fill>
      <patternFill patternType="solid">
        <fgColor rgb="FFF8FBFF"/>
      </patternFill>
    </fill>
    <fill>
      <patternFill patternType="solid">
        <fgColor rgb="FF4472C4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FFF2CC"/>
      </patternFill>
    </fill>
    <fill>
      <patternFill patternType="solid">
        <fgColor rgb="FF9B59B6"/>
      </patternFill>
    </fill>
    <fill>
      <patternFill patternType="solid">
        <fgColor rgb="FFE74C3C"/>
      </patternFill>
    </fill>
    <fill>
      <patternFill patternType="solid">
        <fgColor theme="0" tint="-4.9989318521683403E-2"/>
        <bgColor indexed="65"/>
      </patternFill>
    </fill>
  </fills>
  <borders count="4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0" tint="-0.49995422223578601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thin">
        <color theme="0" tint="-0.49995422223578601"/>
      </top>
      <bottom/>
      <diagonal/>
    </border>
    <border>
      <left/>
      <right/>
      <top style="thin">
        <color theme="0" tint="-0.49995422223578601"/>
      </top>
      <bottom/>
      <diagonal/>
    </border>
    <border>
      <left/>
      <right style="thin">
        <color theme="0" tint="-0.34998626667073579"/>
      </right>
      <top style="thin">
        <color theme="0" tint="-0.49995422223578601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/>
      </bottom>
      <diagonal/>
    </border>
  </borders>
  <cellStyleXfs count="11">
    <xf numFmtId="0" fontId="0" fillId="0" borderId="0"/>
    <xf numFmtId="9" fontId="37" fillId="0" borderId="0">
      <alignment horizontal="center" vertical="center"/>
    </xf>
    <xf numFmtId="176" fontId="37" fillId="0" borderId="0">
      <alignment horizontal="center" vertical="center"/>
    </xf>
    <xf numFmtId="0" fontId="33" fillId="0" borderId="0">
      <alignment vertical="top"/>
      <protection locked="0"/>
    </xf>
    <xf numFmtId="0" fontId="34" fillId="0" borderId="0"/>
    <xf numFmtId="0" fontId="35" fillId="0" borderId="0"/>
    <xf numFmtId="0" fontId="37" fillId="0" borderId="0">
      <alignment horizontal="right" vertical="center"/>
    </xf>
    <xf numFmtId="0" fontId="9" fillId="6" borderId="0"/>
    <xf numFmtId="14" fontId="37" fillId="0" borderId="0">
      <alignment horizontal="center" vertical="center"/>
    </xf>
    <xf numFmtId="0" fontId="9" fillId="0" borderId="0"/>
    <xf numFmtId="0" fontId="36" fillId="0" borderId="0"/>
  </cellStyleXfs>
  <cellXfs count="22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/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6" xfId="0" applyBorder="1"/>
    <xf numFmtId="0" fontId="0" fillId="0" borderId="9" xfId="0" applyBorder="1" applyAlignment="1">
      <alignment vertical="center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2" xfId="0" applyBorder="1" applyAlignment="1">
      <alignment vertical="center" wrapText="1"/>
    </xf>
    <xf numFmtId="0" fontId="0" fillId="0" borderId="12" xfId="0" applyBorder="1" applyAlignment="1">
      <alignment vertical="center"/>
    </xf>
    <xf numFmtId="0" fontId="0" fillId="0" borderId="13" xfId="0" applyBorder="1"/>
    <xf numFmtId="0" fontId="0" fillId="0" borderId="0" xfId="0" applyAlignment="1">
      <alignment horizontal="center" vertical="center"/>
    </xf>
    <xf numFmtId="177" fontId="0" fillId="0" borderId="0" xfId="0" applyNumberFormat="1"/>
    <xf numFmtId="0" fontId="0" fillId="2" borderId="4" xfId="0" applyFill="1" applyBorder="1" applyAlignment="1">
      <alignment horizontal="center" vertical="center"/>
    </xf>
    <xf numFmtId="0" fontId="0" fillId="2" borderId="5" xfId="0" applyFill="1" applyBorder="1"/>
    <xf numFmtId="177" fontId="0" fillId="2" borderId="5" xfId="0" applyNumberFormat="1" applyFill="1" applyBorder="1"/>
    <xf numFmtId="0" fontId="0" fillId="2" borderId="6" xfId="0" applyFill="1" applyBorder="1"/>
    <xf numFmtId="0" fontId="0" fillId="0" borderId="4" xfId="0" applyBorder="1" applyAlignment="1">
      <alignment horizontal="center" vertical="center"/>
    </xf>
    <xf numFmtId="0" fontId="0" fillId="0" borderId="5" xfId="0" applyBorder="1"/>
    <xf numFmtId="177" fontId="0" fillId="0" borderId="5" xfId="0" applyNumberFormat="1" applyBorder="1"/>
    <xf numFmtId="0" fontId="0" fillId="0" borderId="11" xfId="0" applyBorder="1" applyAlignment="1">
      <alignment horizontal="center" vertical="center"/>
    </xf>
    <xf numFmtId="177" fontId="0" fillId="0" borderId="12" xfId="0" applyNumberFormat="1" applyBorder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177" fontId="4" fillId="0" borderId="5" xfId="0" applyNumberFormat="1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177" fontId="4" fillId="0" borderId="6" xfId="0" applyNumberFormat="1" applyFont="1" applyBorder="1" applyAlignment="1">
      <alignment vertical="center"/>
    </xf>
    <xf numFmtId="177" fontId="4" fillId="0" borderId="12" xfId="0" applyNumberFormat="1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177" fontId="4" fillId="0" borderId="13" xfId="0" applyNumberFormat="1" applyFont="1" applyBorder="1" applyAlignment="1">
      <alignment vertical="center"/>
    </xf>
    <xf numFmtId="0" fontId="7" fillId="0" borderId="0" xfId="0" applyFont="1"/>
    <xf numFmtId="0" fontId="9" fillId="0" borderId="0" xfId="9"/>
    <xf numFmtId="177" fontId="0" fillId="0" borderId="0" xfId="0" applyNumberFormat="1" applyAlignment="1">
      <alignment horizontal="center"/>
    </xf>
    <xf numFmtId="0" fontId="9" fillId="0" borderId="0" xfId="9" applyAlignment="1">
      <alignment wrapText="1"/>
    </xf>
    <xf numFmtId="0" fontId="9" fillId="5" borderId="0" xfId="0" applyFont="1" applyFill="1"/>
    <xf numFmtId="0" fontId="12" fillId="0" borderId="0" xfId="4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177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14" fillId="0" borderId="0" xfId="0" applyFont="1"/>
    <xf numFmtId="177" fontId="14" fillId="0" borderId="0" xfId="0" applyNumberFormat="1" applyFont="1" applyAlignment="1">
      <alignment horizontal="center"/>
    </xf>
    <xf numFmtId="0" fontId="14" fillId="0" borderId="0" xfId="6" applyFont="1">
      <alignment horizontal="right" vertical="center"/>
    </xf>
    <xf numFmtId="14" fontId="14" fillId="0" borderId="0" xfId="8" applyFont="1" applyAlignment="1">
      <alignment horizontal="right" vertical="center"/>
    </xf>
    <xf numFmtId="177" fontId="14" fillId="0" borderId="0" xfId="0" applyNumberFormat="1" applyFont="1" applyAlignment="1">
      <alignment horizontal="right" vertical="center"/>
    </xf>
    <xf numFmtId="0" fontId="18" fillId="0" borderId="30" xfId="0" applyFont="1" applyBorder="1" applyAlignment="1">
      <alignment vertical="center"/>
    </xf>
    <xf numFmtId="0" fontId="19" fillId="0" borderId="30" xfId="0" applyFont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/>
    <xf numFmtId="0" fontId="19" fillId="0" borderId="0" xfId="0" applyFont="1"/>
    <xf numFmtId="179" fontId="14" fillId="0" borderId="0" xfId="0" applyNumberFormat="1" applyFont="1" applyAlignment="1">
      <alignment horizontal="left" vertical="center"/>
    </xf>
    <xf numFmtId="177" fontId="14" fillId="0" borderId="0" xfId="0" applyNumberFormat="1" applyFont="1"/>
    <xf numFmtId="0" fontId="14" fillId="0" borderId="31" xfId="0" applyFont="1" applyBorder="1"/>
    <xf numFmtId="180" fontId="22" fillId="11" borderId="32" xfId="0" applyNumberFormat="1" applyFont="1" applyFill="1" applyBorder="1" applyAlignment="1">
      <alignment horizontal="center" vertical="center"/>
    </xf>
    <xf numFmtId="180" fontId="22" fillId="11" borderId="33" xfId="0" applyNumberFormat="1" applyFont="1" applyFill="1" applyBorder="1" applyAlignment="1">
      <alignment horizontal="center" vertical="center"/>
    </xf>
    <xf numFmtId="180" fontId="22" fillId="11" borderId="34" xfId="0" applyNumberFormat="1" applyFont="1" applyFill="1" applyBorder="1" applyAlignment="1">
      <alignment horizontal="center" vertical="center"/>
    </xf>
    <xf numFmtId="14" fontId="22" fillId="11" borderId="35" xfId="0" applyNumberFormat="1" applyFont="1" applyFill="1" applyBorder="1" applyAlignment="1">
      <alignment horizontal="center" vertical="center"/>
    </xf>
    <xf numFmtId="14" fontId="22" fillId="11" borderId="0" xfId="0" applyNumberFormat="1" applyFont="1" applyFill="1" applyAlignment="1">
      <alignment horizontal="center" vertical="center"/>
    </xf>
    <xf numFmtId="14" fontId="22" fillId="11" borderId="36" xfId="0" applyNumberFormat="1" applyFont="1" applyFill="1" applyBorder="1" applyAlignment="1">
      <alignment horizontal="center" vertical="center"/>
    </xf>
    <xf numFmtId="14" fontId="22" fillId="11" borderId="37" xfId="0" applyNumberFormat="1" applyFont="1" applyFill="1" applyBorder="1" applyAlignment="1">
      <alignment horizontal="center" vertical="center"/>
    </xf>
    <xf numFmtId="14" fontId="22" fillId="11" borderId="31" xfId="0" applyNumberFormat="1" applyFont="1" applyFill="1" applyBorder="1" applyAlignment="1">
      <alignment horizontal="center" vertical="center"/>
    </xf>
    <xf numFmtId="0" fontId="23" fillId="5" borderId="0" xfId="0" applyFont="1" applyFill="1" applyAlignment="1">
      <alignment horizontal="left" vertical="center"/>
    </xf>
    <xf numFmtId="0" fontId="23" fillId="5" borderId="0" xfId="0" applyFont="1" applyFill="1" applyAlignment="1">
      <alignment horizontal="center" vertical="center" wrapText="1"/>
    </xf>
    <xf numFmtId="177" fontId="23" fillId="5" borderId="0" xfId="0" applyNumberFormat="1" applyFont="1" applyFill="1" applyAlignment="1">
      <alignment horizontal="center" vertical="center" wrapText="1"/>
    </xf>
    <xf numFmtId="0" fontId="24" fillId="0" borderId="31" xfId="0" applyFont="1" applyBorder="1" applyAlignment="1">
      <alignment horizontal="center" vertical="center" wrapText="1"/>
    </xf>
    <xf numFmtId="0" fontId="22" fillId="11" borderId="38" xfId="0" applyFont="1" applyFill="1" applyBorder="1" applyAlignment="1">
      <alignment horizontal="center" vertical="center"/>
    </xf>
    <xf numFmtId="0" fontId="0" fillId="12" borderId="39" xfId="0" applyFill="1" applyBorder="1" applyAlignment="1">
      <alignment vertical="center"/>
    </xf>
    <xf numFmtId="0" fontId="0" fillId="13" borderId="39" xfId="0" applyFill="1" applyBorder="1" applyAlignment="1">
      <alignment vertical="center"/>
    </xf>
    <xf numFmtId="0" fontId="0" fillId="14" borderId="39" xfId="0" applyFill="1" applyBorder="1" applyAlignment="1">
      <alignment vertical="center"/>
    </xf>
    <xf numFmtId="0" fontId="0" fillId="14" borderId="0" xfId="0" applyFill="1"/>
    <xf numFmtId="0" fontId="0" fillId="13" borderId="0" xfId="0" applyFill="1"/>
    <xf numFmtId="0" fontId="22" fillId="14" borderId="0" xfId="0" applyFont="1" applyFill="1" applyAlignment="1">
      <alignment vertical="center"/>
    </xf>
    <xf numFmtId="9" fontId="22" fillId="14" borderId="0" xfId="1" applyFont="1" applyFill="1">
      <alignment horizontal="center" vertical="center"/>
    </xf>
    <xf numFmtId="0" fontId="22" fillId="14" borderId="0" xfId="0" applyFont="1" applyFill="1" applyAlignment="1">
      <alignment horizontal="center" vertical="center"/>
    </xf>
    <xf numFmtId="9" fontId="22" fillId="15" borderId="0" xfId="1" applyFont="1" applyFill="1">
      <alignment horizontal="center" vertical="center"/>
    </xf>
    <xf numFmtId="179" fontId="22" fillId="15" borderId="0" xfId="8" applyNumberFormat="1" applyFont="1" applyFill="1">
      <alignment horizontal="center" vertical="center"/>
    </xf>
    <xf numFmtId="176" fontId="22" fillId="14" borderId="0" xfId="2" applyFont="1" applyFill="1">
      <alignment horizontal="center" vertical="center"/>
    </xf>
    <xf numFmtId="0" fontId="22" fillId="15" borderId="0" xfId="0" applyFont="1" applyFill="1" applyAlignment="1">
      <alignment vertical="center"/>
    </xf>
    <xf numFmtId="0" fontId="22" fillId="15" borderId="0" xfId="0" applyFont="1" applyFill="1" applyAlignment="1">
      <alignment horizontal="center" vertical="center"/>
    </xf>
    <xf numFmtId="176" fontId="22" fillId="15" borderId="0" xfId="2" applyFont="1" applyFill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16" borderId="40" xfId="0" applyFill="1" applyBorder="1" applyAlignment="1">
      <alignment horizontal="center" vertical="center"/>
    </xf>
    <xf numFmtId="0" fontId="0" fillId="13" borderId="40" xfId="0" applyFill="1" applyBorder="1" applyAlignment="1">
      <alignment horizontal="center" vertical="center"/>
    </xf>
    <xf numFmtId="0" fontId="0" fillId="17" borderId="40" xfId="0" applyFill="1" applyBorder="1" applyAlignment="1">
      <alignment horizontal="center" vertical="center"/>
    </xf>
    <xf numFmtId="0" fontId="0" fillId="16" borderId="0" xfId="0" applyFill="1"/>
    <xf numFmtId="179" fontId="22" fillId="14" borderId="0" xfId="8" applyNumberFormat="1" applyFont="1" applyFill="1">
      <alignment horizontal="center" vertical="center"/>
    </xf>
    <xf numFmtId="0" fontId="0" fillId="14" borderId="40" xfId="0" applyFill="1" applyBorder="1" applyAlignment="1">
      <alignment horizontal="center" vertical="center"/>
    </xf>
    <xf numFmtId="0" fontId="0" fillId="17" borderId="0" xfId="0" applyFill="1"/>
    <xf numFmtId="0" fontId="25" fillId="14" borderId="0" xfId="0" applyFont="1" applyFill="1" applyAlignment="1">
      <alignment vertical="center"/>
    </xf>
    <xf numFmtId="0" fontId="0" fillId="18" borderId="40" xfId="0" applyFill="1" applyBorder="1" applyAlignment="1">
      <alignment horizontal="center" vertical="center"/>
    </xf>
    <xf numFmtId="0" fontId="0" fillId="18" borderId="0" xfId="0" applyFill="1"/>
    <xf numFmtId="0" fontId="0" fillId="19" borderId="40" xfId="0" applyFill="1" applyBorder="1" applyAlignment="1">
      <alignment horizontal="center" vertical="center"/>
    </xf>
    <xf numFmtId="0" fontId="0" fillId="19" borderId="0" xfId="0" applyFill="1"/>
    <xf numFmtId="0" fontId="26" fillId="20" borderId="0" xfId="0" applyFont="1" applyFill="1" applyAlignment="1">
      <alignment vertical="center"/>
    </xf>
    <xf numFmtId="0" fontId="22" fillId="20" borderId="0" xfId="0" applyFont="1" applyFill="1" applyAlignment="1">
      <alignment horizontal="center" vertical="center"/>
    </xf>
    <xf numFmtId="9" fontId="22" fillId="20" borderId="0" xfId="1" applyFont="1" applyFill="1">
      <alignment horizontal="center" vertical="center"/>
    </xf>
    <xf numFmtId="179" fontId="22" fillId="20" borderId="0" xfId="8" applyNumberFormat="1" applyFont="1" applyFill="1">
      <alignment horizontal="center" vertical="center"/>
    </xf>
    <xf numFmtId="176" fontId="25" fillId="20" borderId="0" xfId="2" applyFont="1" applyFill="1">
      <alignment horizontal="center" vertical="center"/>
    </xf>
    <xf numFmtId="0" fontId="0" fillId="12" borderId="0" xfId="0" applyFill="1"/>
    <xf numFmtId="0" fontId="0" fillId="21" borderId="40" xfId="0" applyFill="1" applyBorder="1" applyAlignment="1">
      <alignment horizontal="center" vertical="center"/>
    </xf>
    <xf numFmtId="0" fontId="0" fillId="21" borderId="0" xfId="0" applyFill="1"/>
    <xf numFmtId="0" fontId="0" fillId="16" borderId="41" xfId="0" applyFill="1" applyBorder="1" applyAlignment="1">
      <alignment vertical="center"/>
    </xf>
    <xf numFmtId="0" fontId="0" fillId="22" borderId="40" xfId="0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179" fontId="22" fillId="14" borderId="0" xfId="0" applyNumberFormat="1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22" borderId="0" xfId="0" applyFill="1"/>
    <xf numFmtId="0" fontId="22" fillId="15" borderId="0" xfId="3" applyFont="1" applyFill="1" applyAlignment="1" applyProtection="1">
      <alignment horizontal="center" vertical="center"/>
    </xf>
    <xf numFmtId="179" fontId="22" fillId="15" borderId="0" xfId="0" applyNumberFormat="1" applyFont="1" applyFill="1" applyAlignment="1">
      <alignment horizontal="center" vertical="center"/>
    </xf>
    <xf numFmtId="0" fontId="14" fillId="20" borderId="0" xfId="0" applyFont="1" applyFill="1" applyAlignment="1">
      <alignment vertical="center"/>
    </xf>
    <xf numFmtId="179" fontId="22" fillId="20" borderId="0" xfId="0" applyNumberFormat="1" applyFont="1" applyFill="1" applyAlignment="1">
      <alignment horizontal="center" vertical="center"/>
    </xf>
    <xf numFmtId="0" fontId="25" fillId="2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0" xfId="0" applyFont="1"/>
    <xf numFmtId="0" fontId="28" fillId="0" borderId="0" xfId="0" applyFont="1" applyAlignment="1">
      <alignment vertical="top"/>
    </xf>
    <xf numFmtId="0" fontId="28" fillId="0" borderId="0" xfId="0" applyFont="1"/>
    <xf numFmtId="0" fontId="29" fillId="0" borderId="0" xfId="0" applyFont="1"/>
    <xf numFmtId="0" fontId="30" fillId="0" borderId="0" xfId="5" applyFont="1" applyAlignment="1">
      <alignment vertical="center"/>
    </xf>
    <xf numFmtId="0" fontId="29" fillId="5" borderId="0" xfId="0" applyFont="1" applyFill="1"/>
    <xf numFmtId="0" fontId="29" fillId="23" borderId="0" xfId="0" applyFont="1" applyFill="1"/>
    <xf numFmtId="0" fontId="32" fillId="23" borderId="0" xfId="0" applyFont="1" applyFill="1"/>
    <xf numFmtId="0" fontId="12" fillId="23" borderId="0" xfId="5" applyFont="1" applyFill="1" applyAlignment="1">
      <alignment vertical="center"/>
    </xf>
    <xf numFmtId="0" fontId="22" fillId="0" borderId="0" xfId="0" applyFont="1"/>
    <xf numFmtId="0" fontId="22" fillId="23" borderId="0" xfId="0" applyFont="1" applyFill="1"/>
    <xf numFmtId="0" fontId="14" fillId="23" borderId="0" xfId="0" applyFont="1" applyFill="1" applyAlignment="1">
      <alignment wrapText="1"/>
    </xf>
    <xf numFmtId="0" fontId="22" fillId="0" borderId="0" xfId="0" applyFont="1" applyAlignment="1">
      <alignment vertical="top"/>
    </xf>
    <xf numFmtId="14" fontId="14" fillId="0" borderId="0" xfId="0" applyNumberFormat="1" applyFont="1" applyAlignment="1">
      <alignment horizontal="left" vertical="center"/>
    </xf>
    <xf numFmtId="9" fontId="0" fillId="0" borderId="0" xfId="0" applyNumberFormat="1"/>
    <xf numFmtId="9" fontId="22" fillId="15" borderId="0" xfId="0" applyNumberFormat="1" applyFont="1" applyFill="1" applyAlignment="1">
      <alignment horizontal="center" vertical="center"/>
    </xf>
    <xf numFmtId="9" fontId="22" fillId="14" borderId="0" xfId="0" applyNumberFormat="1" applyFont="1" applyFill="1" applyAlignment="1">
      <alignment horizontal="center" vertical="center"/>
    </xf>
    <xf numFmtId="14" fontId="0" fillId="0" borderId="0" xfId="0" applyNumberFormat="1"/>
    <xf numFmtId="14" fontId="22" fillId="15" borderId="0" xfId="0" applyNumberFormat="1" applyFont="1" applyFill="1" applyAlignment="1">
      <alignment horizontal="center" vertical="center"/>
    </xf>
    <xf numFmtId="14" fontId="22" fillId="14" borderId="0" xfId="0" applyNumberFormat="1" applyFont="1" applyFill="1" applyAlignment="1">
      <alignment horizontal="center" vertical="center"/>
    </xf>
    <xf numFmtId="14" fontId="0" fillId="0" borderId="5" xfId="0" applyNumberFormat="1" applyBorder="1"/>
    <xf numFmtId="0" fontId="31" fillId="5" borderId="0" xfId="5" applyFont="1" applyFill="1" applyAlignment="1">
      <alignment horizontal="left" vertical="center"/>
    </xf>
    <xf numFmtId="0" fontId="28" fillId="0" borderId="0" xfId="0" applyFont="1"/>
    <xf numFmtId="0" fontId="15" fillId="23" borderId="0" xfId="5" applyFont="1" applyFill="1" applyAlignment="1">
      <alignment horizontal="left" vertical="center" wrapText="1"/>
    </xf>
    <xf numFmtId="0" fontId="28" fillId="0" borderId="0" xfId="0" applyFont="1" applyAlignment="1">
      <alignment vertical="top"/>
    </xf>
    <xf numFmtId="0" fontId="16" fillId="9" borderId="0" xfId="0" applyFont="1" applyFill="1" applyAlignment="1">
      <alignment horizontal="center" vertical="center"/>
    </xf>
    <xf numFmtId="0" fontId="0" fillId="0" borderId="0" xfId="0"/>
    <xf numFmtId="0" fontId="17" fillId="10" borderId="0" xfId="0" applyFont="1" applyFill="1" applyAlignment="1">
      <alignment horizontal="center" vertical="center"/>
    </xf>
    <xf numFmtId="0" fontId="10" fillId="5" borderId="0" xfId="4" applyFont="1" applyFill="1" applyAlignment="1">
      <alignment horizontal="left" vertical="center"/>
    </xf>
    <xf numFmtId="177" fontId="0" fillId="0" borderId="0" xfId="0" applyNumberFormat="1" applyAlignment="1">
      <alignment horizontal="center"/>
    </xf>
    <xf numFmtId="0" fontId="11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6" fillId="6" borderId="0" xfId="7" applyFont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0" fillId="0" borderId="25" xfId="0" applyBorder="1"/>
    <xf numFmtId="0" fontId="0" fillId="0" borderId="24" xfId="0" applyBorder="1"/>
    <xf numFmtId="0" fontId="0" fillId="0" borderId="28" xfId="0" applyBorder="1"/>
    <xf numFmtId="0" fontId="0" fillId="0" borderId="29" xfId="0" applyBorder="1"/>
    <xf numFmtId="0" fontId="0" fillId="0" borderId="27" xfId="0" applyBorder="1"/>
    <xf numFmtId="0" fontId="4" fillId="3" borderId="4" xfId="0" applyFont="1" applyFill="1" applyBorder="1" applyAlignment="1">
      <alignment horizontal="center" vertical="center" wrapText="1"/>
    </xf>
    <xf numFmtId="0" fontId="0" fillId="0" borderId="26" xfId="0" applyBorder="1"/>
    <xf numFmtId="0" fontId="0" fillId="0" borderId="16" xfId="0" applyBorder="1"/>
    <xf numFmtId="0" fontId="8" fillId="4" borderId="5" xfId="0" applyFont="1" applyFill="1" applyBorder="1" applyAlignment="1">
      <alignment horizontal="center" vertical="center" wrapText="1"/>
    </xf>
    <xf numFmtId="0" fontId="0" fillId="0" borderId="15" xfId="0" applyBorder="1"/>
    <xf numFmtId="0" fontId="4" fillId="3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7" fillId="0" borderId="0" xfId="0" applyFont="1" applyAlignment="1">
      <alignment horizontal="left" vertical="center"/>
    </xf>
    <xf numFmtId="0" fontId="4" fillId="0" borderId="12" xfId="0" applyFont="1" applyBorder="1" applyAlignment="1">
      <alignment vertical="center"/>
    </xf>
    <xf numFmtId="0" fontId="0" fillId="0" borderId="19" xfId="0" applyBorder="1"/>
    <xf numFmtId="0" fontId="0" fillId="0" borderId="20" xfId="0" applyBorder="1"/>
    <xf numFmtId="0" fontId="4" fillId="0" borderId="5" xfId="0" applyFont="1" applyBorder="1" applyAlignme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23" xfId="0" applyBorder="1"/>
    <xf numFmtId="0" fontId="5" fillId="0" borderId="21" xfId="10" applyFont="1" applyBorder="1" applyAlignment="1">
      <alignment horizontal="center" vertical="center" wrapText="1"/>
    </xf>
    <xf numFmtId="0" fontId="0" fillId="0" borderId="22" xfId="0" applyBorder="1"/>
    <xf numFmtId="0" fontId="4" fillId="0" borderId="5" xfId="0" applyFont="1" applyBorder="1" applyAlignment="1">
      <alignment horizontal="left" vertical="center"/>
    </xf>
    <xf numFmtId="0" fontId="5" fillId="0" borderId="1" xfId="1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12" xfId="0" applyFont="1" applyBorder="1" applyAlignment="1">
      <alignment horizontal="justify" vertical="center" wrapText="1"/>
    </xf>
    <xf numFmtId="0" fontId="4" fillId="0" borderId="14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1" fillId="0" borderId="1" xfId="0" applyFont="1" applyBorder="1" applyAlignment="1">
      <alignment horizontal="center"/>
    </xf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1">
    <cellStyle name="zHiddenText" xfId="9" xr:uid="{00000000-0005-0000-0000-000000000000}"/>
    <cellStyle name="百分比" xfId="1" xr:uid="{00000000-0005-0000-0000-000001000000}"/>
    <cellStyle name="标题" xfId="4" xr:uid="{00000000-0005-0000-0000-000002000000}"/>
    <cellStyle name="标题 1" xfId="5" xr:uid="{00000000-0005-0000-0000-000003000000}"/>
    <cellStyle name="标题 3" xfId="6" xr:uid="{00000000-0005-0000-0000-000004000000}"/>
    <cellStyle name="常规" xfId="0" builtinId="0"/>
    <cellStyle name="常规_USE-SP-PM02-T02风险列表" xfId="10" xr:uid="{00000000-0005-0000-0000-000006000000}"/>
    <cellStyle name="超链接" xfId="3" xr:uid="{00000000-0005-0000-0000-000007000000}"/>
    <cellStyle name="千位分隔[0]" xfId="2" xr:uid="{00000000-0005-0000-0000-000008000000}"/>
    <cellStyle name="日期" xfId="8" xr:uid="{00000000-0005-0000-0000-000009000000}"/>
    <cellStyle name="着色 3" xfId="7" xr:uid="{00000000-0005-0000-0000-00000A000000}"/>
  </cellStyles>
  <dxfs count="27">
    <dxf>
      <font>
        <color theme="1"/>
      </font>
      <fill>
        <patternFill>
          <bgColor theme="6" tint="0.39988402966399123"/>
        </patternFill>
      </fill>
    </dxf>
    <dxf>
      <font>
        <color auto="1"/>
      </font>
      <fill>
        <patternFill>
          <bgColor theme="0" tint="-0.14993743705557422"/>
        </patternFill>
      </fill>
      <border>
        <left/>
        <right/>
        <top/>
        <bottom style="thin">
          <color theme="0" tint="-0.34998626667073579"/>
        </bottom>
      </border>
    </dxf>
    <dxf>
      <fill>
        <patternFill>
          <bgColor theme="2" tint="-9.9917600024414813E-2"/>
        </patternFill>
      </fill>
      <border>
        <left/>
        <right/>
        <top/>
        <bottom/>
      </border>
    </dxf>
    <dxf>
      <fill>
        <patternFill>
          <bgColor theme="5"/>
        </patternFill>
      </fill>
      <border>
        <left/>
        <right/>
        <top/>
        <bottom/>
      </border>
    </dxf>
    <dxf>
      <fill>
        <patternFill>
          <bgColor theme="6"/>
        </patternFill>
      </fill>
      <border>
        <left/>
        <right/>
        <top/>
        <bottom/>
      </border>
    </dxf>
    <dxf>
      <fill>
        <patternFill>
          <bgColor theme="7" tint="-0.24994659260841701"/>
        </patternFill>
      </fill>
      <border>
        <left/>
        <right/>
        <top/>
        <bottom/>
      </border>
    </dxf>
    <dxf>
      <fill>
        <patternFill>
          <bgColor theme="9"/>
        </patternFill>
      </fill>
      <border>
        <left/>
        <right/>
        <top/>
        <bottom/>
      </border>
    </dxf>
    <dxf>
      <fill>
        <patternFill>
          <bgColor theme="2" tint="-9.9917600024414813E-2"/>
        </patternFill>
      </fill>
      <border>
        <left/>
        <right/>
        <top/>
        <bottom/>
      </border>
    </dxf>
    <dxf>
      <fill>
        <patternFill>
          <bgColor theme="5"/>
        </patternFill>
      </fill>
      <border>
        <left/>
        <right/>
        <top/>
        <bottom/>
      </border>
    </dxf>
    <dxf>
      <fill>
        <patternFill>
          <bgColor theme="6"/>
        </patternFill>
      </fill>
      <border>
        <left/>
        <right/>
        <top/>
        <bottom/>
      </border>
    </dxf>
    <dxf>
      <fill>
        <patternFill>
          <bgColor theme="7" tint="-0.24994659260841701"/>
        </patternFill>
      </fill>
      <border>
        <left/>
        <right/>
        <top/>
        <bottom/>
      </border>
    </dxf>
    <dxf>
      <fill>
        <patternFill>
          <bgColor theme="9"/>
        </patternFill>
      </fill>
      <border>
        <left/>
        <right/>
        <top/>
        <bottom/>
      </border>
    </dxf>
    <dxf>
      <fill>
        <patternFill>
          <bgColor theme="2" tint="-9.9917600024414813E-2"/>
        </patternFill>
      </fill>
      <border>
        <left/>
        <right/>
        <top/>
        <bottom/>
      </border>
    </dxf>
    <dxf>
      <fill>
        <patternFill>
          <bgColor theme="5"/>
        </patternFill>
      </fill>
      <border>
        <left/>
        <right/>
        <top/>
        <bottom/>
      </border>
    </dxf>
    <dxf>
      <fill>
        <patternFill>
          <bgColor theme="6"/>
        </patternFill>
      </fill>
      <border>
        <left/>
        <right/>
        <top/>
        <bottom/>
      </border>
    </dxf>
    <dxf>
      <fill>
        <patternFill>
          <bgColor theme="7" tint="-0.24994659260841701"/>
        </patternFill>
      </fill>
      <border>
        <left/>
        <right/>
        <top/>
        <bottom/>
      </border>
    </dxf>
    <dxf>
      <fill>
        <patternFill>
          <bgColor theme="9"/>
        </patternFill>
      </fill>
      <border>
        <left/>
        <right/>
        <top/>
        <bottom/>
      </border>
    </dxf>
    <dxf>
      <fill>
        <patternFill>
          <bgColor theme="2" tint="-9.9917600024414813E-2"/>
        </patternFill>
      </fill>
      <border>
        <left/>
        <right/>
        <top/>
        <bottom/>
      </border>
    </dxf>
    <dxf>
      <fill>
        <patternFill>
          <bgColor theme="5"/>
        </patternFill>
      </fill>
      <border>
        <left/>
        <right/>
        <top/>
        <bottom/>
      </border>
    </dxf>
    <dxf>
      <fill>
        <patternFill>
          <bgColor theme="6"/>
        </patternFill>
      </fill>
      <border>
        <left/>
        <right/>
        <top/>
        <bottom/>
      </border>
    </dxf>
    <dxf>
      <fill>
        <patternFill>
          <bgColor theme="7" tint="-0.24994659260841701"/>
        </patternFill>
      </fill>
      <border>
        <left/>
        <right/>
        <top/>
        <bottom/>
      </border>
    </dxf>
    <dxf>
      <fill>
        <patternFill>
          <bgColor theme="9"/>
        </patternFill>
      </fill>
      <border>
        <left/>
        <right/>
        <top/>
        <bottom/>
      </border>
    </dxf>
    <dxf>
      <font>
        <b/>
        <color theme="0"/>
      </font>
      <border>
        <left style="thin">
          <color rgb="FFC00000"/>
        </left>
        <right style="thin">
          <color rgb="FFC00000"/>
        </right>
      </border>
    </dxf>
    <dxf>
      <font>
        <color auto="1"/>
      </font>
      <fill>
        <patternFill>
          <bgColor theme="0" tint="-4.9989318521683403E-2"/>
        </patternFill>
      </fill>
      <border>
        <left/>
        <right/>
        <top/>
        <bottom style="thin">
          <color theme="0" tint="-0.34998626667073579"/>
        </bottom>
      </border>
    </dxf>
    <dxf>
      <font>
        <color auto="1"/>
      </font>
      <fill>
        <patternFill>
          <bgColor theme="0" tint="-0.14993743705557422"/>
        </patternFill>
      </fill>
      <border>
        <left/>
        <right/>
        <top/>
        <bottom style="thin">
          <color theme="0" tint="-0.34998626667073579"/>
        </bottom>
      </border>
    </dxf>
    <dxf>
      <font>
        <sz val="11"/>
        <color auto="1"/>
        <name val="Microsoft YaHei UI"/>
        <family val="2"/>
        <scheme val="none"/>
      </font>
      <numFmt numFmtId="177" formatCode="yyyy&quot;年&quot;mm&quot;月&quot;dd&quot;日&quot;"/>
    </dxf>
    <dxf>
      <numFmt numFmtId="177" formatCode="yyyy&quot;年&quot;mm&quot;月&quot;dd&quot;日&quot;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1109663</xdr:colOff>
      <xdr:row>16</xdr:row>
      <xdr:rowOff>209550</xdr:rowOff>
    </xdr:to>
    <xdr:sp macro="" textlink="">
      <xdr:nvSpPr>
        <xdr:cNvPr id="1032" name="Text Box 8" hidden="1">
          <a:extLst>
            <a:ext uri="{FF2B5EF4-FFF2-40B4-BE49-F238E27FC236}">
              <a16:creationId xmlns:a16="http://schemas.microsoft.com/office/drawing/2014/main" id="{CD55738F-3386-F135-E6AF-AF34D6CA68A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里程碑 43524" displayName="里程碑_43524" ref="B9:H49" totalsRowShown="0">
  <autoFilter ref="B9:H49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000-000001000000}" name="里程碑描述"/>
    <tableColumn id="2" xr3:uid="{00000000-0010-0000-0000-000002000000}" name="类别"/>
    <tableColumn id="3" xr3:uid="{00000000-0010-0000-0000-000003000000}" name="责任人"/>
    <tableColumn id="4" xr3:uid="{00000000-0010-0000-0000-000004000000}" name="进度"/>
    <tableColumn id="5" xr3:uid="{00000000-0010-0000-0000-000005000000}" name="开始日期" dataDxfId="26"/>
    <tableColumn id="7" xr3:uid="{00000000-0010-0000-0000-000007000000}" name="截止日期" dataDxfId="25"/>
    <tableColumn id="6" xr3:uid="{00000000-0010-0000-0000-000006000000}" name="天数"/>
  </tableColumns>
  <tableStyleInfo name="待办事项列表" showFirstColumn="1" showLastColumn="0" showRowStripes="1" showColumnStripes="0"/>
</table>
</file>

<file path=xl/theme/theme1.xml><?xml version="1.0" encoding="utf-8"?>
<a:theme xmlns:a="http://schemas.openxmlformats.org/drawingml/2006/main" name="Attitude">
  <a:themeElements>
    <a:clrScheme name="Custom 60">
      <a:dk1>
        <a:srgbClr val="000000"/>
      </a:dk1>
      <a:lt1>
        <a:sysClr val="window" lastClr="FFFFFF"/>
      </a:lt1>
      <a:dk2>
        <a:srgbClr val="8439BD"/>
      </a:dk2>
      <a:lt2>
        <a:srgbClr val="FFFFFF"/>
      </a:lt2>
      <a:accent1>
        <a:srgbClr val="0EABB7"/>
      </a:accent1>
      <a:accent2>
        <a:srgbClr val="4868E5"/>
      </a:accent2>
      <a:accent3>
        <a:srgbClr val="20A472"/>
      </a:accent3>
      <a:accent4>
        <a:srgbClr val="B13DC8"/>
      </a:accent4>
      <a:accent5>
        <a:srgbClr val="172DA6"/>
      </a:accent5>
      <a:accent6>
        <a:srgbClr val="00B0F0"/>
      </a:accent6>
      <a:hlink>
        <a:srgbClr val="00B0F0"/>
      </a:hlink>
      <a:folHlink>
        <a:srgbClr val="B036B3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ustom 60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showGridLines="0" workbookViewId="0">
      <selection activeCell="H9" sqref="H9"/>
    </sheetView>
  </sheetViews>
  <sheetFormatPr defaultColWidth="9.234375" defaultRowHeight="12.75" x14ac:dyDescent="0.3"/>
  <cols>
    <col min="1" max="1" width="4.76171875" style="144" customWidth="1"/>
    <col min="2" max="2" width="2.76171875" style="144" customWidth="1"/>
    <col min="3" max="5" width="40.76171875" style="145" customWidth="1"/>
    <col min="6" max="6" width="2.76171875" style="145" customWidth="1"/>
    <col min="7" max="7" width="9.234375" style="145" customWidth="1"/>
    <col min="8" max="16384" width="9.234375" style="145"/>
  </cols>
  <sheetData>
    <row r="1" spans="1:13" s="143" customFormat="1" ht="30" customHeight="1" x14ac:dyDescent="0.8">
      <c r="A1" s="146"/>
      <c r="B1" s="146"/>
      <c r="C1" s="146"/>
      <c r="D1" s="147"/>
      <c r="E1" s="146"/>
      <c r="F1" s="146"/>
      <c r="G1" s="146"/>
      <c r="H1" s="146"/>
      <c r="I1" s="146"/>
      <c r="J1" s="146"/>
      <c r="K1" s="146"/>
      <c r="L1" s="146"/>
      <c r="M1" s="146"/>
    </row>
    <row r="2" spans="1:13" ht="50.1" customHeight="1" x14ac:dyDescent="0.8">
      <c r="A2" s="146"/>
      <c r="B2" s="148"/>
      <c r="C2" s="164" t="s">
        <v>0</v>
      </c>
      <c r="D2" s="165"/>
      <c r="E2" s="165"/>
      <c r="F2" s="148"/>
      <c r="G2" s="146"/>
      <c r="H2" s="146"/>
      <c r="I2" s="146"/>
      <c r="J2" s="146"/>
      <c r="K2" s="146"/>
      <c r="L2" s="146"/>
      <c r="M2" s="146"/>
    </row>
    <row r="3" spans="1:13" ht="14.45" customHeight="1" x14ac:dyDescent="0.8">
      <c r="A3" s="146"/>
      <c r="B3" s="149"/>
      <c r="C3" s="150"/>
      <c r="D3" s="151"/>
      <c r="E3" s="149"/>
      <c r="F3" s="149"/>
      <c r="G3" s="146"/>
      <c r="H3" s="146"/>
      <c r="I3" s="146"/>
      <c r="J3" s="146"/>
      <c r="K3" s="146"/>
      <c r="L3" s="146"/>
      <c r="M3" s="146"/>
    </row>
    <row r="4" spans="1:13" s="144" customFormat="1" ht="85.5" customHeight="1" x14ac:dyDescent="0.8">
      <c r="A4" s="146"/>
      <c r="B4" s="149"/>
      <c r="C4" s="166" t="s">
        <v>1</v>
      </c>
      <c r="D4" s="167"/>
      <c r="E4" s="167"/>
      <c r="F4" s="149"/>
      <c r="G4" s="146"/>
      <c r="H4" s="146"/>
      <c r="I4" s="146"/>
      <c r="J4" s="146"/>
      <c r="K4" s="146"/>
      <c r="L4" s="146"/>
      <c r="M4" s="146"/>
    </row>
    <row r="5" spans="1:13" ht="16.5" customHeight="1" x14ac:dyDescent="0.5">
      <c r="A5" s="152"/>
      <c r="B5" s="153"/>
      <c r="C5" s="153"/>
      <c r="D5" s="154"/>
      <c r="E5" s="153"/>
      <c r="F5" s="153"/>
      <c r="G5" s="152"/>
      <c r="H5" s="152"/>
      <c r="I5" s="152"/>
      <c r="J5" s="152"/>
      <c r="K5" s="152"/>
      <c r="L5" s="152"/>
      <c r="M5" s="152"/>
    </row>
    <row r="6" spans="1:13" ht="50.1" customHeight="1" x14ac:dyDescent="0.45">
      <c r="A6" s="152"/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</row>
    <row r="7" spans="1:13" ht="14.45" customHeight="1" x14ac:dyDescent="0.45">
      <c r="A7" s="152"/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</row>
    <row r="8" spans="1:13" ht="90" customHeight="1" x14ac:dyDescent="0.45">
      <c r="A8" s="155"/>
      <c r="B8" s="155"/>
      <c r="C8" s="155"/>
      <c r="D8" s="155"/>
      <c r="E8" s="155"/>
      <c r="F8" s="155"/>
      <c r="G8" s="155"/>
      <c r="H8" s="155"/>
      <c r="I8" s="152"/>
      <c r="J8" s="152"/>
      <c r="K8" s="152"/>
      <c r="L8" s="152"/>
      <c r="M8" s="152"/>
    </row>
    <row r="9" spans="1:13" ht="14.45" customHeight="1" x14ac:dyDescent="0.45">
      <c r="A9" s="152"/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</row>
    <row r="10" spans="1:13" ht="16.5" customHeight="1" x14ac:dyDescent="0.45">
      <c r="A10" s="152"/>
      <c r="B10" s="152"/>
      <c r="C10" s="152"/>
      <c r="D10" s="155"/>
      <c r="E10" s="152"/>
      <c r="F10" s="152"/>
      <c r="G10" s="152"/>
      <c r="H10" s="152"/>
      <c r="I10" s="152"/>
      <c r="J10" s="152"/>
      <c r="K10" s="152"/>
      <c r="L10" s="152"/>
      <c r="M10" s="152"/>
    </row>
    <row r="11" spans="1:13" ht="16.5" customHeight="1" x14ac:dyDescent="0.45">
      <c r="A11" s="152"/>
      <c r="B11" s="152"/>
      <c r="C11" s="152"/>
      <c r="D11" s="155"/>
      <c r="E11" s="152"/>
      <c r="F11" s="152"/>
      <c r="G11" s="152"/>
      <c r="H11" s="152"/>
      <c r="I11" s="152"/>
      <c r="J11" s="152"/>
      <c r="K11" s="152"/>
      <c r="L11" s="152"/>
      <c r="M11" s="152"/>
    </row>
    <row r="12" spans="1:13" ht="16.5" customHeight="1" x14ac:dyDescent="0.45">
      <c r="A12" s="152"/>
      <c r="B12" s="152"/>
      <c r="C12" s="152"/>
      <c r="D12" s="155"/>
      <c r="E12" s="152"/>
      <c r="F12" s="152"/>
      <c r="G12" s="152"/>
      <c r="H12" s="152"/>
      <c r="I12" s="152"/>
      <c r="J12" s="152"/>
      <c r="K12" s="152"/>
      <c r="L12" s="152"/>
      <c r="M12" s="152"/>
    </row>
    <row r="13" spans="1:13" ht="16.5" customHeight="1" x14ac:dyDescent="0.45">
      <c r="A13" s="152"/>
      <c r="B13" s="152"/>
      <c r="C13" s="152"/>
      <c r="D13" s="155"/>
      <c r="E13" s="152"/>
      <c r="F13" s="152"/>
      <c r="G13" s="152"/>
      <c r="H13" s="152"/>
      <c r="I13" s="152"/>
      <c r="J13" s="152"/>
      <c r="K13" s="152"/>
      <c r="L13" s="152"/>
      <c r="M13" s="152"/>
    </row>
    <row r="14" spans="1:13" ht="16.5" customHeight="1" x14ac:dyDescent="0.45">
      <c r="A14" s="152"/>
      <c r="B14" s="152"/>
      <c r="C14" s="152"/>
      <c r="D14" s="155"/>
      <c r="E14" s="152"/>
      <c r="F14" s="152"/>
      <c r="G14" s="152"/>
      <c r="H14" s="152"/>
      <c r="I14" s="152"/>
      <c r="J14" s="152"/>
      <c r="K14" s="152"/>
      <c r="L14" s="152"/>
      <c r="M14" s="152"/>
    </row>
    <row r="15" spans="1:13" ht="16.5" customHeight="1" x14ac:dyDescent="0.45">
      <c r="A15" s="152"/>
      <c r="B15" s="152"/>
      <c r="C15" s="152"/>
      <c r="D15" s="155"/>
      <c r="E15" s="152"/>
      <c r="F15" s="152"/>
      <c r="G15" s="152"/>
      <c r="H15" s="152"/>
      <c r="I15" s="152"/>
      <c r="J15" s="152"/>
      <c r="K15" s="152"/>
      <c r="L15" s="152"/>
      <c r="M15" s="152"/>
    </row>
    <row r="16" spans="1:13" ht="16.5" customHeight="1" x14ac:dyDescent="0.45">
      <c r="A16" s="152"/>
      <c r="B16" s="152"/>
      <c r="C16" s="152"/>
      <c r="D16" s="155"/>
      <c r="E16" s="152"/>
      <c r="F16" s="152"/>
      <c r="G16" s="152"/>
      <c r="H16" s="152"/>
      <c r="I16" s="152"/>
      <c r="J16" s="152"/>
      <c r="K16" s="152"/>
      <c r="L16" s="152"/>
      <c r="M16" s="152"/>
    </row>
    <row r="17" spans="1:13" ht="16.5" customHeight="1" x14ac:dyDescent="0.45">
      <c r="A17" s="152"/>
      <c r="B17" s="152"/>
      <c r="C17" s="152"/>
      <c r="D17" s="155"/>
      <c r="E17" s="152"/>
      <c r="F17" s="152"/>
      <c r="G17" s="152"/>
      <c r="H17" s="152"/>
      <c r="I17" s="152"/>
      <c r="J17" s="152"/>
      <c r="K17" s="152"/>
      <c r="L17" s="152"/>
      <c r="M17" s="152"/>
    </row>
    <row r="18" spans="1:13" ht="16.5" customHeight="1" x14ac:dyDescent="0.45">
      <c r="A18" s="152"/>
      <c r="B18" s="152"/>
      <c r="C18" s="152"/>
      <c r="D18" s="155"/>
      <c r="E18" s="152"/>
      <c r="F18" s="152"/>
      <c r="G18" s="152"/>
      <c r="H18" s="152"/>
      <c r="I18" s="152"/>
      <c r="J18" s="152"/>
      <c r="K18" s="152"/>
      <c r="L18" s="152"/>
      <c r="M18" s="152"/>
    </row>
  </sheetData>
  <mergeCells count="2">
    <mergeCell ref="C2:E2"/>
    <mergeCell ref="C4:E4"/>
  </mergeCells>
  <phoneticPr fontId="38" type="noConversion"/>
  <pageMargins left="0.5" right="0.5" top="0.5" bottom="0.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V62"/>
  <sheetViews>
    <sheetView showGridLines="0" showRuler="0" zoomScale="87" zoomScaleNormal="115" zoomScalePageLayoutView="70" workbookViewId="0">
      <pane xSplit="9" ySplit="9" topLeftCell="CL10" activePane="bottomRight" state="frozen"/>
      <selection pane="topRight"/>
      <selection pane="bottomLeft"/>
      <selection pane="bottomRight" activeCell="B36" sqref="B36"/>
    </sheetView>
  </sheetViews>
  <sheetFormatPr defaultColWidth="8.87890625" defaultRowHeight="15" x14ac:dyDescent="0.5"/>
  <cols>
    <col min="1" max="1" width="4.76171875" style="58" customWidth="1"/>
    <col min="2" max="2" width="40.3515625" customWidth="1"/>
    <col min="3" max="3" width="14.1171875" customWidth="1"/>
    <col min="4" max="4" width="15.52734375" customWidth="1"/>
    <col min="5" max="5" width="10.76171875" customWidth="1"/>
    <col min="6" max="7" width="14.1171875" style="59" customWidth="1"/>
    <col min="8" max="8" width="6.1171875" customWidth="1"/>
    <col min="9" max="9" width="2.76171875" customWidth="1"/>
    <col min="10" max="65" width="3.64453125" customWidth="1"/>
    <col min="66" max="66" width="2.76171875" customWidth="1"/>
  </cols>
  <sheetData>
    <row r="1" spans="1:100" ht="5.25" customHeight="1" x14ac:dyDescent="0.5"/>
    <row r="2" spans="1:100" ht="39.75" customHeight="1" x14ac:dyDescent="0.5">
      <c r="A2" s="60"/>
      <c r="B2" s="171" t="s">
        <v>114</v>
      </c>
      <c r="C2" s="169"/>
      <c r="D2" s="169"/>
      <c r="E2" s="169"/>
      <c r="F2" s="172"/>
      <c r="G2" s="172"/>
      <c r="H2" s="169"/>
      <c r="I2" s="169"/>
      <c r="J2" s="173"/>
      <c r="K2" s="169"/>
      <c r="L2" s="169"/>
      <c r="M2" s="169"/>
      <c r="N2" s="169"/>
      <c r="O2" s="169"/>
      <c r="P2" s="174"/>
      <c r="Q2" s="169"/>
      <c r="R2" s="169"/>
      <c r="S2" s="169"/>
      <c r="T2" s="169"/>
      <c r="U2" s="169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1"/>
    </row>
    <row r="3" spans="1:100" ht="6.75" customHeight="1" x14ac:dyDescent="0.5">
      <c r="A3" s="60"/>
      <c r="B3" s="62"/>
      <c r="C3" s="63"/>
      <c r="D3" s="64"/>
      <c r="E3" s="64"/>
      <c r="F3" s="65"/>
      <c r="G3" s="65"/>
      <c r="H3" s="64"/>
      <c r="I3" s="64"/>
      <c r="J3" s="66"/>
      <c r="K3" s="2"/>
      <c r="L3" s="2"/>
      <c r="M3" s="2"/>
    </row>
    <row r="4" spans="1:100" ht="21" customHeight="1" x14ac:dyDescent="0.5">
      <c r="A4" s="60"/>
      <c r="B4" s="67" t="s">
        <v>2</v>
      </c>
      <c r="C4" s="64" t="s">
        <v>115</v>
      </c>
      <c r="D4" s="68"/>
      <c r="E4" s="69"/>
      <c r="F4" s="70"/>
      <c r="G4" s="70"/>
      <c r="H4" s="67" t="s">
        <v>3</v>
      </c>
      <c r="I4" s="69"/>
      <c r="J4" s="175" t="s">
        <v>4</v>
      </c>
      <c r="K4" s="169"/>
      <c r="L4" s="169"/>
      <c r="M4" s="169"/>
      <c r="O4" s="176" t="s">
        <v>5</v>
      </c>
      <c r="P4" s="169"/>
      <c r="Q4" s="169"/>
      <c r="R4" s="169"/>
      <c r="T4" s="177" t="s">
        <v>6</v>
      </c>
      <c r="U4" s="169"/>
      <c r="V4" s="169"/>
      <c r="W4" s="169"/>
      <c r="Y4" s="168" t="s">
        <v>7</v>
      </c>
      <c r="Z4" s="169"/>
      <c r="AA4" s="169"/>
      <c r="AB4" s="169"/>
      <c r="AD4" s="170" t="s">
        <v>8</v>
      </c>
      <c r="AE4" s="169"/>
      <c r="AF4" s="169"/>
      <c r="AG4" s="169"/>
    </row>
    <row r="5" spans="1:100" ht="22.5" customHeight="1" x14ac:dyDescent="0.5">
      <c r="A5" s="60"/>
      <c r="B5" s="67" t="s">
        <v>9</v>
      </c>
      <c r="C5" s="64" t="s">
        <v>114</v>
      </c>
      <c r="D5" s="68"/>
      <c r="E5" s="69"/>
      <c r="F5" s="70"/>
      <c r="G5" s="70"/>
      <c r="H5" s="69"/>
      <c r="I5" s="69"/>
    </row>
    <row r="6" spans="1:100" ht="20.25" customHeight="1" x14ac:dyDescent="0.75">
      <c r="A6" s="60"/>
      <c r="B6" s="71" t="s">
        <v>10</v>
      </c>
      <c r="C6" s="156">
        <v>46220</v>
      </c>
      <c r="D6" s="72" t="s">
        <v>11</v>
      </c>
      <c r="E6" s="156">
        <v>46228</v>
      </c>
      <c r="F6" s="73" t="s">
        <v>12</v>
      </c>
      <c r="G6" s="73"/>
      <c r="H6" s="68">
        <f>E6-C6+1</f>
        <v>9</v>
      </c>
      <c r="I6" s="69"/>
      <c r="J6" s="74" t="str">
        <f ca="1">TEXT(J7,"m月")</f>
        <v>9月</v>
      </c>
      <c r="K6" s="74"/>
      <c r="L6" s="74"/>
      <c r="M6" s="74"/>
      <c r="N6" s="74"/>
      <c r="O6" s="74"/>
      <c r="P6" s="74"/>
      <c r="Q6" s="74" t="str">
        <f ca="1">IF(TEXT(Q7,"m月")=J6,"",TEXT(Q7,"m月"))</f>
        <v/>
      </c>
      <c r="R6" s="74"/>
      <c r="S6" s="74"/>
      <c r="T6" s="74"/>
      <c r="U6" s="74"/>
      <c r="V6" s="74"/>
      <c r="W6" s="74"/>
      <c r="X6" s="74" t="str">
        <f ca="1">IF(OR(TEXT(X7,"m月")=Q6,TEXT(X7,"m月")=J6),"",TEXT(X7,"m月"))</f>
        <v/>
      </c>
      <c r="Y6" s="74"/>
      <c r="Z6" s="74"/>
      <c r="AA6" s="74"/>
      <c r="AB6" s="74"/>
      <c r="AC6" s="74"/>
      <c r="AD6" s="74"/>
      <c r="AE6" s="74" t="str">
        <f ca="1">IF(OR(TEXT(AE7,"m月")=X6,TEXT(AE7,"m月")=Q6,TEXT(AE7,"m月")=J6),"",TEXT(AE7,"m月"))</f>
        <v/>
      </c>
      <c r="AF6" s="74"/>
      <c r="AG6" s="74"/>
      <c r="AH6" s="74"/>
      <c r="AI6" s="74"/>
      <c r="AJ6" s="74"/>
      <c r="AK6" s="74"/>
      <c r="AL6" s="74" t="str">
        <f ca="1">IF(OR(TEXT(AL7,"m月")=AE6,TEXT(AL7,"m月")=X6,TEXT(AL7,"m月")=Q6,TEXT(AL7,"m月")=J6),"",TEXT(AL7,"m月"))</f>
        <v>10月</v>
      </c>
      <c r="AM6" s="74"/>
      <c r="AN6" s="74"/>
      <c r="AO6" s="74"/>
      <c r="AP6" s="74"/>
      <c r="AQ6" s="74"/>
      <c r="AR6" s="74"/>
      <c r="AS6" s="74" t="str">
        <f ca="1">IF(OR(TEXT(AS7,"m月")=AL6,TEXT(AS7,"m月")=AE6,TEXT(AS7,"m月")=X6,TEXT(AS7,"m月")=Q6),"",TEXT(AS7,"m月"))</f>
        <v/>
      </c>
      <c r="AT6" s="74"/>
      <c r="AU6" s="74"/>
      <c r="AV6" s="74"/>
      <c r="AW6" s="74"/>
      <c r="AX6" s="74"/>
      <c r="AY6" s="75"/>
      <c r="AZ6" s="75" t="str">
        <f ca="1">IF(OR(TEXT(AZ7,"m月")=AS6,TEXT(AZ7,"m月")=AL6,TEXT(AZ7,"m月")=AE6,TEXT(AZ7,"m月")=X6),"",TEXT(AZ7,"m月"))</f>
        <v/>
      </c>
      <c r="BA6" s="75"/>
      <c r="BB6" s="75"/>
      <c r="BC6" s="76"/>
      <c r="BD6" s="77"/>
      <c r="BE6" s="77"/>
      <c r="BF6" s="77"/>
      <c r="BG6" s="77" t="str">
        <f ca="1">IF(OR(TEXT(BG7,"m月")=AZ6,TEXT(BG7,"m月")=AS6,TEXT(BG7,"m月")=AL6,TEXT(BG7,"m月")=AE6),"",TEXT(BG7,"m月"))</f>
        <v/>
      </c>
      <c r="BH6" s="77"/>
      <c r="BI6" s="77"/>
      <c r="BJ6" s="77"/>
      <c r="BK6" s="77"/>
      <c r="BL6" s="77"/>
      <c r="BM6" s="77"/>
      <c r="CE6" s="78" t="s">
        <v>13</v>
      </c>
    </row>
    <row r="7" spans="1:100" ht="21" customHeight="1" x14ac:dyDescent="0.5">
      <c r="A7" s="60"/>
      <c r="B7" s="71" t="s">
        <v>14</v>
      </c>
      <c r="C7" s="68">
        <v>50</v>
      </c>
      <c r="D7" s="67" t="s">
        <v>15</v>
      </c>
      <c r="E7" s="79">
        <f>C6+C7</f>
        <v>46270</v>
      </c>
      <c r="F7" s="80"/>
      <c r="G7" s="80"/>
      <c r="H7" s="69"/>
      <c r="I7" s="81"/>
      <c r="J7" s="82">
        <f ca="1">IFERROR(项目_开始日期+滚动_增量,TODAY())</f>
        <v>46270</v>
      </c>
      <c r="K7" s="83">
        <f t="shared" ref="K7:BM7" ca="1" si="0">J7+1</f>
        <v>46271</v>
      </c>
      <c r="L7" s="83">
        <f t="shared" ca="1" si="0"/>
        <v>46272</v>
      </c>
      <c r="M7" s="83">
        <f t="shared" ca="1" si="0"/>
        <v>46273</v>
      </c>
      <c r="N7" s="83">
        <f t="shared" ca="1" si="0"/>
        <v>46274</v>
      </c>
      <c r="O7" s="83">
        <f t="shared" ca="1" si="0"/>
        <v>46275</v>
      </c>
      <c r="P7" s="84">
        <f t="shared" ca="1" si="0"/>
        <v>46276</v>
      </c>
      <c r="Q7" s="83">
        <f t="shared" ca="1" si="0"/>
        <v>46277</v>
      </c>
      <c r="R7" s="83">
        <f t="shared" ca="1" si="0"/>
        <v>46278</v>
      </c>
      <c r="S7" s="83">
        <f t="shared" ca="1" si="0"/>
        <v>46279</v>
      </c>
      <c r="T7" s="83">
        <f t="shared" ca="1" si="0"/>
        <v>46280</v>
      </c>
      <c r="U7" s="83">
        <f t="shared" ca="1" si="0"/>
        <v>46281</v>
      </c>
      <c r="V7" s="83">
        <f t="shared" ca="1" si="0"/>
        <v>46282</v>
      </c>
      <c r="W7" s="84">
        <f t="shared" ca="1" si="0"/>
        <v>46283</v>
      </c>
      <c r="X7" s="83">
        <f t="shared" ca="1" si="0"/>
        <v>46284</v>
      </c>
      <c r="Y7" s="83">
        <f t="shared" ca="1" si="0"/>
        <v>46285</v>
      </c>
      <c r="Z7" s="83">
        <f t="shared" ca="1" si="0"/>
        <v>46286</v>
      </c>
      <c r="AA7" s="83">
        <f t="shared" ca="1" si="0"/>
        <v>46287</v>
      </c>
      <c r="AB7" s="83">
        <f t="shared" ca="1" si="0"/>
        <v>46288</v>
      </c>
      <c r="AC7" s="83">
        <f t="shared" ca="1" si="0"/>
        <v>46289</v>
      </c>
      <c r="AD7" s="84">
        <f t="shared" ca="1" si="0"/>
        <v>46290</v>
      </c>
      <c r="AE7" s="83">
        <f t="shared" ca="1" si="0"/>
        <v>46291</v>
      </c>
      <c r="AF7" s="83">
        <f t="shared" ca="1" si="0"/>
        <v>46292</v>
      </c>
      <c r="AG7" s="83">
        <f t="shared" ca="1" si="0"/>
        <v>46293</v>
      </c>
      <c r="AH7" s="83">
        <f t="shared" ca="1" si="0"/>
        <v>46294</v>
      </c>
      <c r="AI7" s="83">
        <f t="shared" ca="1" si="0"/>
        <v>46295</v>
      </c>
      <c r="AJ7" s="83">
        <f t="shared" ca="1" si="0"/>
        <v>46296</v>
      </c>
      <c r="AK7" s="84">
        <f t="shared" ca="1" si="0"/>
        <v>46297</v>
      </c>
      <c r="AL7" s="83">
        <f t="shared" ca="1" si="0"/>
        <v>46298</v>
      </c>
      <c r="AM7" s="83">
        <f t="shared" ca="1" si="0"/>
        <v>46299</v>
      </c>
      <c r="AN7" s="83">
        <f t="shared" ca="1" si="0"/>
        <v>46300</v>
      </c>
      <c r="AO7" s="83">
        <f t="shared" ca="1" si="0"/>
        <v>46301</v>
      </c>
      <c r="AP7" s="83">
        <f t="shared" ca="1" si="0"/>
        <v>46302</v>
      </c>
      <c r="AQ7" s="83">
        <f t="shared" ca="1" si="0"/>
        <v>46303</v>
      </c>
      <c r="AR7" s="84">
        <f t="shared" ca="1" si="0"/>
        <v>46304</v>
      </c>
      <c r="AS7" s="83">
        <f t="shared" ca="1" si="0"/>
        <v>46305</v>
      </c>
      <c r="AT7" s="83">
        <f t="shared" ca="1" si="0"/>
        <v>46306</v>
      </c>
      <c r="AU7" s="83">
        <f t="shared" ca="1" si="0"/>
        <v>46307</v>
      </c>
      <c r="AV7" s="83">
        <f t="shared" ca="1" si="0"/>
        <v>46308</v>
      </c>
      <c r="AW7" s="83">
        <f t="shared" ca="1" si="0"/>
        <v>46309</v>
      </c>
      <c r="AX7" s="83">
        <f t="shared" ca="1" si="0"/>
        <v>46310</v>
      </c>
      <c r="AY7" s="84">
        <f t="shared" ca="1" si="0"/>
        <v>46311</v>
      </c>
      <c r="AZ7" s="83">
        <f t="shared" ca="1" si="0"/>
        <v>46312</v>
      </c>
      <c r="BA7" s="83">
        <f t="shared" ca="1" si="0"/>
        <v>46313</v>
      </c>
      <c r="BB7" s="83">
        <f t="shared" ca="1" si="0"/>
        <v>46314</v>
      </c>
      <c r="BC7" s="83">
        <f t="shared" ca="1" si="0"/>
        <v>46315</v>
      </c>
      <c r="BD7" s="83">
        <f t="shared" ca="1" si="0"/>
        <v>46316</v>
      </c>
      <c r="BE7" s="83">
        <f t="shared" ca="1" si="0"/>
        <v>46317</v>
      </c>
      <c r="BF7" s="84">
        <f t="shared" ca="1" si="0"/>
        <v>46318</v>
      </c>
      <c r="BG7" s="83">
        <f t="shared" ca="1" si="0"/>
        <v>46319</v>
      </c>
      <c r="BH7" s="83">
        <f t="shared" ca="1" si="0"/>
        <v>46320</v>
      </c>
      <c r="BI7" s="83">
        <f t="shared" ca="1" si="0"/>
        <v>46321</v>
      </c>
      <c r="BJ7" s="83">
        <f t="shared" ca="1" si="0"/>
        <v>46322</v>
      </c>
      <c r="BK7" s="83">
        <f t="shared" ca="1" si="0"/>
        <v>46323</v>
      </c>
      <c r="BL7" s="83">
        <f t="shared" ca="1" si="0"/>
        <v>46324</v>
      </c>
      <c r="BM7" s="84">
        <f t="shared" ca="1" si="0"/>
        <v>46325</v>
      </c>
    </row>
    <row r="8" spans="1:100" ht="20.25" customHeight="1" x14ac:dyDescent="0.5">
      <c r="A8" s="60"/>
      <c r="B8" s="68"/>
      <c r="C8" s="68"/>
      <c r="D8" s="68"/>
      <c r="E8" s="69"/>
      <c r="F8" s="80"/>
      <c r="G8" s="80"/>
      <c r="H8" s="69"/>
      <c r="I8" s="81"/>
      <c r="J8" s="85"/>
      <c r="K8" s="86"/>
      <c r="L8" s="86"/>
      <c r="M8" s="86"/>
      <c r="N8" s="86"/>
      <c r="O8" s="86"/>
      <c r="P8" s="86"/>
      <c r="Q8" s="87"/>
      <c r="R8" s="86"/>
      <c r="S8" s="86"/>
      <c r="T8" s="86"/>
      <c r="U8" s="86"/>
      <c r="V8" s="86"/>
      <c r="W8" s="88"/>
      <c r="X8" s="86"/>
      <c r="Y8" s="86"/>
      <c r="Z8" s="86"/>
      <c r="AA8" s="86"/>
      <c r="AB8" s="86"/>
      <c r="AC8" s="86"/>
      <c r="AD8" s="88"/>
      <c r="AE8" s="86"/>
      <c r="AF8" s="86"/>
      <c r="AG8" s="86"/>
      <c r="AH8" s="86"/>
      <c r="AI8" s="86"/>
      <c r="AJ8" s="86"/>
      <c r="AK8" s="88"/>
      <c r="AL8" s="86"/>
      <c r="AM8" s="86"/>
      <c r="AN8" s="86"/>
      <c r="AO8" s="86"/>
      <c r="AP8" s="86"/>
      <c r="AQ8" s="86"/>
      <c r="AR8" s="88"/>
      <c r="AS8" s="86"/>
      <c r="AT8" s="86"/>
      <c r="AU8" s="86"/>
      <c r="AV8" s="86"/>
      <c r="AW8" s="86"/>
      <c r="AX8" s="86"/>
      <c r="AY8" s="88"/>
      <c r="AZ8" s="86"/>
      <c r="BA8" s="86"/>
      <c r="BB8" s="86"/>
      <c r="BC8" s="86"/>
      <c r="BD8" s="86"/>
      <c r="BE8" s="86"/>
      <c r="BF8" s="88"/>
      <c r="BG8" s="86"/>
      <c r="BH8" s="86"/>
      <c r="BI8" s="86"/>
      <c r="BJ8" s="86"/>
      <c r="BK8" s="86"/>
      <c r="BL8" s="86"/>
      <c r="BM8" s="89"/>
    </row>
    <row r="9" spans="1:100" ht="28.5" customHeight="1" x14ac:dyDescent="0.5">
      <c r="A9" s="60"/>
      <c r="B9" s="90" t="s">
        <v>16</v>
      </c>
      <c r="C9" s="91" t="s">
        <v>17</v>
      </c>
      <c r="D9" s="91" t="s">
        <v>18</v>
      </c>
      <c r="E9" s="91" t="s">
        <v>19</v>
      </c>
      <c r="F9" s="92" t="s">
        <v>20</v>
      </c>
      <c r="G9" s="92" t="s">
        <v>21</v>
      </c>
      <c r="H9" s="91" t="s">
        <v>22</v>
      </c>
      <c r="I9" s="93"/>
      <c r="J9" s="94" t="str">
        <f t="shared" ref="J9:BM9" ca="1" si="1">LEFT(TEXT(J7,"aaa"),1)</f>
        <v>六</v>
      </c>
      <c r="K9" s="94" t="str">
        <f t="shared" ca="1" si="1"/>
        <v>日</v>
      </c>
      <c r="L9" s="94" t="str">
        <f t="shared" ca="1" si="1"/>
        <v>一</v>
      </c>
      <c r="M9" s="94" t="str">
        <f t="shared" ca="1" si="1"/>
        <v>二</v>
      </c>
      <c r="N9" s="94" t="str">
        <f t="shared" ca="1" si="1"/>
        <v>三</v>
      </c>
      <c r="O9" s="94" t="str">
        <f t="shared" ca="1" si="1"/>
        <v>四</v>
      </c>
      <c r="P9" s="94" t="str">
        <f t="shared" ca="1" si="1"/>
        <v>五</v>
      </c>
      <c r="Q9" s="94" t="str">
        <f t="shared" ca="1" si="1"/>
        <v>六</v>
      </c>
      <c r="R9" s="94" t="str">
        <f t="shared" ca="1" si="1"/>
        <v>日</v>
      </c>
      <c r="S9" s="94" t="str">
        <f t="shared" ca="1" si="1"/>
        <v>一</v>
      </c>
      <c r="T9" s="94" t="str">
        <f t="shared" ca="1" si="1"/>
        <v>二</v>
      </c>
      <c r="U9" s="94" t="str">
        <f t="shared" ca="1" si="1"/>
        <v>三</v>
      </c>
      <c r="V9" s="94" t="str">
        <f t="shared" ca="1" si="1"/>
        <v>四</v>
      </c>
      <c r="W9" s="94" t="str">
        <f t="shared" ca="1" si="1"/>
        <v>五</v>
      </c>
      <c r="X9" s="94" t="str">
        <f t="shared" ca="1" si="1"/>
        <v>六</v>
      </c>
      <c r="Y9" s="94" t="str">
        <f t="shared" ca="1" si="1"/>
        <v>日</v>
      </c>
      <c r="Z9" s="94" t="str">
        <f t="shared" ca="1" si="1"/>
        <v>一</v>
      </c>
      <c r="AA9" s="94" t="str">
        <f t="shared" ca="1" si="1"/>
        <v>二</v>
      </c>
      <c r="AB9" s="94" t="str">
        <f t="shared" ca="1" si="1"/>
        <v>三</v>
      </c>
      <c r="AC9" s="94" t="str">
        <f t="shared" ca="1" si="1"/>
        <v>四</v>
      </c>
      <c r="AD9" s="94" t="str">
        <f t="shared" ca="1" si="1"/>
        <v>五</v>
      </c>
      <c r="AE9" s="94" t="str">
        <f t="shared" ca="1" si="1"/>
        <v>六</v>
      </c>
      <c r="AF9" s="94" t="str">
        <f t="shared" ca="1" si="1"/>
        <v>日</v>
      </c>
      <c r="AG9" s="94" t="str">
        <f t="shared" ca="1" si="1"/>
        <v>一</v>
      </c>
      <c r="AH9" s="94" t="str">
        <f t="shared" ca="1" si="1"/>
        <v>二</v>
      </c>
      <c r="AI9" s="94" t="str">
        <f t="shared" ca="1" si="1"/>
        <v>三</v>
      </c>
      <c r="AJ9" s="94" t="str">
        <f t="shared" ca="1" si="1"/>
        <v>四</v>
      </c>
      <c r="AK9" s="94" t="str">
        <f t="shared" ca="1" si="1"/>
        <v>五</v>
      </c>
      <c r="AL9" s="94" t="str">
        <f t="shared" ca="1" si="1"/>
        <v>六</v>
      </c>
      <c r="AM9" s="94" t="str">
        <f t="shared" ca="1" si="1"/>
        <v>日</v>
      </c>
      <c r="AN9" s="94" t="str">
        <f t="shared" ca="1" si="1"/>
        <v>一</v>
      </c>
      <c r="AO9" s="94" t="str">
        <f t="shared" ca="1" si="1"/>
        <v>二</v>
      </c>
      <c r="AP9" s="94" t="str">
        <f t="shared" ca="1" si="1"/>
        <v>三</v>
      </c>
      <c r="AQ9" s="94" t="str">
        <f t="shared" ca="1" si="1"/>
        <v>四</v>
      </c>
      <c r="AR9" s="94" t="str">
        <f t="shared" ca="1" si="1"/>
        <v>五</v>
      </c>
      <c r="AS9" s="94" t="str">
        <f t="shared" ca="1" si="1"/>
        <v>六</v>
      </c>
      <c r="AT9" s="94" t="str">
        <f t="shared" ca="1" si="1"/>
        <v>日</v>
      </c>
      <c r="AU9" s="94" t="str">
        <f t="shared" ca="1" si="1"/>
        <v>一</v>
      </c>
      <c r="AV9" s="94" t="str">
        <f t="shared" ca="1" si="1"/>
        <v>二</v>
      </c>
      <c r="AW9" s="94" t="str">
        <f t="shared" ca="1" si="1"/>
        <v>三</v>
      </c>
      <c r="AX9" s="94" t="str">
        <f t="shared" ca="1" si="1"/>
        <v>四</v>
      </c>
      <c r="AY9" s="94" t="str">
        <f t="shared" ca="1" si="1"/>
        <v>五</v>
      </c>
      <c r="AZ9" s="94" t="str">
        <f t="shared" ca="1" si="1"/>
        <v>六</v>
      </c>
      <c r="BA9" s="94" t="str">
        <f t="shared" ca="1" si="1"/>
        <v>日</v>
      </c>
      <c r="BB9" s="94" t="str">
        <f t="shared" ca="1" si="1"/>
        <v>一</v>
      </c>
      <c r="BC9" s="94" t="str">
        <f t="shared" ca="1" si="1"/>
        <v>二</v>
      </c>
      <c r="BD9" s="94" t="str">
        <f t="shared" ca="1" si="1"/>
        <v>三</v>
      </c>
      <c r="BE9" s="94" t="str">
        <f t="shared" ca="1" si="1"/>
        <v>四</v>
      </c>
      <c r="BF9" s="94" t="str">
        <f t="shared" ca="1" si="1"/>
        <v>五</v>
      </c>
      <c r="BG9" s="94" t="str">
        <f t="shared" ca="1" si="1"/>
        <v>六</v>
      </c>
      <c r="BH9" s="94" t="str">
        <f t="shared" ca="1" si="1"/>
        <v>日</v>
      </c>
      <c r="BI9" s="94" t="str">
        <f t="shared" ca="1" si="1"/>
        <v>一</v>
      </c>
      <c r="BJ9" s="94" t="str">
        <f t="shared" ca="1" si="1"/>
        <v>二</v>
      </c>
      <c r="BK9" s="94" t="str">
        <f t="shared" ca="1" si="1"/>
        <v>三</v>
      </c>
      <c r="BL9" s="94" t="str">
        <f t="shared" ca="1" si="1"/>
        <v>四</v>
      </c>
      <c r="BM9" s="94" t="str">
        <f t="shared" ca="1" si="1"/>
        <v>五</v>
      </c>
    </row>
    <row r="10" spans="1:100" ht="24.95" customHeight="1" x14ac:dyDescent="0.5">
      <c r="B10" t="s">
        <v>116</v>
      </c>
      <c r="D10" t="s">
        <v>115</v>
      </c>
      <c r="E10" s="157">
        <v>1</v>
      </c>
      <c r="F10" s="160">
        <v>46220</v>
      </c>
      <c r="G10" s="160">
        <v>46220</v>
      </c>
      <c r="H10">
        <f t="shared" ref="H10:H16" si="2">G10-F10+1</f>
        <v>1</v>
      </c>
      <c r="J10" s="95"/>
      <c r="K10" s="96"/>
      <c r="L10" s="96"/>
      <c r="M10" s="95"/>
      <c r="N10" s="95"/>
      <c r="O10" s="97"/>
      <c r="P10" s="97"/>
      <c r="Q10" s="97"/>
      <c r="R10" s="96"/>
      <c r="S10" s="96"/>
      <c r="T10" s="97"/>
      <c r="U10" s="97"/>
      <c r="V10" s="97"/>
      <c r="W10" s="97"/>
      <c r="X10" s="97"/>
      <c r="Y10" s="96"/>
      <c r="Z10" s="96"/>
      <c r="AA10" s="97"/>
      <c r="AB10" s="97"/>
      <c r="AC10" s="97"/>
      <c r="AD10" s="97"/>
      <c r="AE10" s="97"/>
      <c r="AF10" s="96"/>
      <c r="AG10" s="96"/>
      <c r="AH10" s="97"/>
      <c r="AI10" s="97"/>
      <c r="AJ10" s="97"/>
      <c r="AK10" s="97"/>
      <c r="AL10" s="97"/>
      <c r="AM10" s="96"/>
      <c r="AN10" s="96"/>
      <c r="AO10" s="97"/>
      <c r="AP10" s="97"/>
      <c r="AQ10" s="97"/>
      <c r="AR10" s="97"/>
      <c r="AS10" s="97"/>
      <c r="AT10" s="96"/>
      <c r="AU10" s="96"/>
      <c r="AV10" s="97"/>
      <c r="AW10" s="97"/>
      <c r="AX10" s="97"/>
      <c r="AY10" s="97"/>
      <c r="AZ10" s="97"/>
      <c r="BA10" s="96"/>
      <c r="BB10" s="96"/>
      <c r="BC10" s="97"/>
      <c r="BD10" s="97"/>
      <c r="BE10" s="97"/>
      <c r="BF10" s="97"/>
      <c r="BG10" s="97"/>
      <c r="BH10" s="96"/>
      <c r="BI10" s="96"/>
      <c r="BJ10" s="97"/>
      <c r="BK10" s="97"/>
      <c r="BL10" s="97"/>
      <c r="BM10" s="97"/>
      <c r="BN10" s="98"/>
      <c r="BO10" s="99"/>
      <c r="BP10" s="99"/>
      <c r="BQ10" s="98"/>
      <c r="BR10" s="98"/>
      <c r="BS10" s="98"/>
      <c r="BT10" s="98"/>
      <c r="BU10" s="98"/>
      <c r="BV10" s="99"/>
      <c r="BW10" s="99"/>
      <c r="BX10" s="98"/>
      <c r="BY10" s="98"/>
      <c r="BZ10" s="98"/>
      <c r="CA10" s="98"/>
      <c r="CB10" s="98"/>
      <c r="CC10" s="99"/>
      <c r="CD10" s="99"/>
      <c r="CE10" s="98"/>
      <c r="CF10" s="98"/>
      <c r="CG10" s="98"/>
      <c r="CH10" s="98"/>
      <c r="CI10" s="98"/>
      <c r="CJ10" s="99"/>
      <c r="CK10" s="99"/>
      <c r="CL10" s="98"/>
      <c r="CM10" s="98"/>
      <c r="CN10" s="98"/>
      <c r="CO10" s="98"/>
      <c r="CP10" s="98"/>
      <c r="CQ10" s="99"/>
      <c r="CR10" s="99"/>
      <c r="CS10" s="98"/>
      <c r="CT10" s="98"/>
      <c r="CU10" s="98"/>
      <c r="CV10" s="98"/>
    </row>
    <row r="11" spans="1:100" ht="24.95" customHeight="1" x14ac:dyDescent="0.5">
      <c r="B11" s="100" t="s">
        <v>117</v>
      </c>
      <c r="C11" s="101"/>
      <c r="D11" s="102" t="s">
        <v>115</v>
      </c>
      <c r="E11" s="158">
        <v>0</v>
      </c>
      <c r="F11" s="161">
        <v>46221</v>
      </c>
      <c r="G11" s="161">
        <v>46221</v>
      </c>
      <c r="H11" s="105">
        <f t="shared" si="2"/>
        <v>1</v>
      </c>
      <c r="J11" s="95"/>
      <c r="K11" s="96"/>
      <c r="L11" s="96"/>
      <c r="M11" s="95"/>
      <c r="N11" s="95"/>
      <c r="O11" s="97"/>
      <c r="P11" s="97"/>
      <c r="Q11" s="97"/>
      <c r="R11" s="96"/>
      <c r="S11" s="96"/>
      <c r="T11" s="97"/>
      <c r="U11" s="97"/>
      <c r="V11" s="97"/>
      <c r="W11" s="97"/>
      <c r="X11" s="97"/>
      <c r="Y11" s="96"/>
      <c r="Z11" s="96"/>
      <c r="AA11" s="97"/>
      <c r="AB11" s="97"/>
      <c r="AC11" s="97"/>
      <c r="AD11" s="97"/>
      <c r="AE11" s="97"/>
      <c r="AF11" s="96"/>
      <c r="AG11" s="96"/>
      <c r="AH11" s="97"/>
      <c r="AI11" s="97"/>
      <c r="AJ11" s="97"/>
      <c r="AK11" s="97"/>
      <c r="AL11" s="97"/>
      <c r="AM11" s="96"/>
      <c r="AN11" s="96"/>
      <c r="AO11" s="97"/>
      <c r="AP11" s="97"/>
      <c r="AQ11" s="97"/>
      <c r="AR11" s="97"/>
      <c r="AS11" s="97"/>
      <c r="AT11" s="96"/>
      <c r="AU11" s="96"/>
      <c r="AV11" s="97"/>
      <c r="AW11" s="97"/>
      <c r="AX11" s="97"/>
      <c r="AY11" s="97"/>
      <c r="AZ11" s="97"/>
      <c r="BA11" s="96"/>
      <c r="BB11" s="96"/>
      <c r="BC11" s="97"/>
      <c r="BD11" s="97"/>
      <c r="BE11" s="97"/>
      <c r="BF11" s="97"/>
      <c r="BG11" s="97"/>
      <c r="BH11" s="96"/>
      <c r="BI11" s="96"/>
      <c r="BJ11" s="97"/>
      <c r="BK11" s="97"/>
      <c r="BL11" s="97"/>
      <c r="BM11" s="97"/>
      <c r="BN11" s="98"/>
      <c r="BO11" s="99"/>
      <c r="BP11" s="99"/>
      <c r="BQ11" s="98"/>
      <c r="BR11" s="98"/>
      <c r="BS11" s="98"/>
      <c r="BT11" s="98"/>
      <c r="BU11" s="98"/>
      <c r="BV11" s="99"/>
      <c r="BW11" s="99"/>
      <c r="BX11" s="98"/>
      <c r="BY11" s="98"/>
      <c r="BZ11" s="98"/>
      <c r="CA11" s="98"/>
      <c r="CB11" s="98"/>
      <c r="CC11" s="99"/>
      <c r="CD11" s="99"/>
      <c r="CE11" s="98"/>
      <c r="CF11" s="98"/>
      <c r="CG11" s="98"/>
      <c r="CH11" s="98"/>
      <c r="CI11" s="98"/>
      <c r="CJ11" s="99"/>
      <c r="CK11" s="99"/>
      <c r="CL11" s="98"/>
      <c r="CM11" s="98"/>
      <c r="CN11" s="98"/>
      <c r="CO11" s="98"/>
      <c r="CP11" s="98"/>
      <c r="CQ11" s="99"/>
      <c r="CR11" s="99"/>
      <c r="CS11" s="98"/>
      <c r="CT11" s="98"/>
      <c r="CU11" s="98"/>
      <c r="CV11" s="98"/>
    </row>
    <row r="12" spans="1:100" ht="24.95" customHeight="1" x14ac:dyDescent="0.5">
      <c r="B12" s="106" t="s">
        <v>118</v>
      </c>
      <c r="C12" s="107"/>
      <c r="D12" s="102" t="s">
        <v>115</v>
      </c>
      <c r="E12" s="158">
        <v>0</v>
      </c>
      <c r="F12" s="161">
        <v>46222</v>
      </c>
      <c r="G12" s="161">
        <v>46222</v>
      </c>
      <c r="H12" s="108">
        <f t="shared" si="2"/>
        <v>1</v>
      </c>
      <c r="J12" s="95"/>
      <c r="K12" s="96"/>
      <c r="L12" s="96"/>
      <c r="M12" s="95"/>
      <c r="N12" s="95"/>
      <c r="O12" s="97"/>
      <c r="P12" s="97"/>
      <c r="Q12" s="97"/>
      <c r="R12" s="96"/>
      <c r="S12" s="96"/>
      <c r="T12" s="97"/>
      <c r="U12" s="97"/>
      <c r="V12" s="97"/>
      <c r="W12" s="97"/>
      <c r="X12" s="97"/>
      <c r="Y12" s="96"/>
      <c r="Z12" s="96"/>
      <c r="AA12" s="97"/>
      <c r="AB12" s="97"/>
      <c r="AC12" s="97"/>
      <c r="AD12" s="97"/>
      <c r="AE12" s="97"/>
      <c r="AF12" s="96"/>
      <c r="AG12" s="96"/>
      <c r="AH12" s="97"/>
      <c r="AI12" s="97"/>
      <c r="AJ12" s="97"/>
      <c r="AK12" s="97"/>
      <c r="AL12" s="97"/>
      <c r="AM12" s="96"/>
      <c r="AN12" s="96"/>
      <c r="AO12" s="97"/>
      <c r="AP12" s="97"/>
      <c r="AQ12" s="97"/>
      <c r="AR12" s="97"/>
      <c r="AS12" s="97"/>
      <c r="AT12" s="96"/>
      <c r="AU12" s="96"/>
      <c r="AV12" s="97"/>
      <c r="AW12" s="97"/>
      <c r="AX12" s="97"/>
      <c r="AY12" s="97"/>
      <c r="AZ12" s="97"/>
      <c r="BA12" s="96"/>
      <c r="BB12" s="96"/>
      <c r="BC12" s="97"/>
      <c r="BD12" s="97"/>
      <c r="BE12" s="97"/>
      <c r="BF12" s="97"/>
      <c r="BG12" s="97"/>
      <c r="BH12" s="96"/>
      <c r="BI12" s="96"/>
      <c r="BJ12" s="97"/>
      <c r="BK12" s="97"/>
      <c r="BL12" s="97"/>
      <c r="BM12" s="97"/>
      <c r="BN12" s="98"/>
      <c r="BO12" s="99"/>
      <c r="BP12" s="99"/>
      <c r="BQ12" s="98"/>
      <c r="BR12" s="98"/>
      <c r="BS12" s="98"/>
      <c r="BT12" s="98"/>
      <c r="BU12" s="98"/>
      <c r="BV12" s="99"/>
      <c r="BW12" s="99"/>
      <c r="BX12" s="98"/>
      <c r="BY12" s="98"/>
      <c r="BZ12" s="98"/>
      <c r="CA12" s="98"/>
      <c r="CB12" s="98"/>
      <c r="CC12" s="99"/>
      <c r="CD12" s="99"/>
      <c r="CE12" s="98"/>
      <c r="CF12" s="98"/>
      <c r="CG12" s="98"/>
      <c r="CH12" s="98"/>
      <c r="CI12" s="98"/>
      <c r="CJ12" s="99"/>
      <c r="CK12" s="99"/>
      <c r="CL12" s="98"/>
      <c r="CM12" s="98"/>
      <c r="CN12" s="98"/>
      <c r="CO12" s="98"/>
      <c r="CP12" s="98"/>
      <c r="CQ12" s="99"/>
      <c r="CR12" s="99"/>
      <c r="CS12" s="98"/>
      <c r="CT12" s="98"/>
      <c r="CU12" s="98"/>
      <c r="CV12" s="98"/>
    </row>
    <row r="13" spans="1:100" s="2" customFormat="1" ht="24.95" customHeight="1" x14ac:dyDescent="0.5">
      <c r="A13" s="60"/>
      <c r="B13" s="106" t="s">
        <v>119</v>
      </c>
      <c r="C13" s="107"/>
      <c r="D13" s="107" t="s">
        <v>115</v>
      </c>
      <c r="E13" s="158">
        <v>0</v>
      </c>
      <c r="F13" s="161">
        <v>46223</v>
      </c>
      <c r="G13" s="161">
        <v>46224</v>
      </c>
      <c r="H13" s="108">
        <f t="shared" si="2"/>
        <v>2</v>
      </c>
      <c r="I13" s="109"/>
      <c r="J13" s="110"/>
      <c r="K13" s="111"/>
      <c r="L13" s="111"/>
      <c r="M13" s="110"/>
      <c r="N13" s="110"/>
      <c r="O13" s="110"/>
      <c r="P13" s="110"/>
      <c r="Q13" s="110"/>
      <c r="R13" s="111"/>
      <c r="S13" s="111"/>
      <c r="T13" s="110"/>
      <c r="U13" s="110"/>
      <c r="V13" s="112"/>
      <c r="W13" s="112"/>
      <c r="X13" s="112"/>
      <c r="Y13" s="111"/>
      <c r="Z13" s="111"/>
      <c r="AA13" s="112"/>
      <c r="AB13" s="112"/>
      <c r="AC13" s="110"/>
      <c r="AD13" s="110"/>
      <c r="AE13" s="110"/>
      <c r="AF13" s="111"/>
      <c r="AG13" s="111"/>
      <c r="AH13" s="110"/>
      <c r="AI13" s="110"/>
      <c r="AJ13" s="110"/>
      <c r="AK13" s="110"/>
      <c r="AL13" s="110"/>
      <c r="AM13" s="111"/>
      <c r="AN13" s="111"/>
      <c r="AO13" s="110"/>
      <c r="AP13" s="110"/>
      <c r="AQ13" s="110"/>
      <c r="AR13" s="110"/>
      <c r="AS13" s="110"/>
      <c r="AT13" s="111"/>
      <c r="AU13" s="111"/>
      <c r="AV13" s="110"/>
      <c r="AW13" s="110"/>
      <c r="AX13" s="110"/>
      <c r="AY13" s="110"/>
      <c r="AZ13" s="110"/>
      <c r="BA13" s="111"/>
      <c r="BB13" s="111"/>
      <c r="BC13" s="110"/>
      <c r="BD13" s="110"/>
      <c r="BE13" s="110"/>
      <c r="BF13" s="110"/>
      <c r="BG13" s="110"/>
      <c r="BH13" s="111"/>
      <c r="BI13" s="111"/>
      <c r="BJ13" s="110"/>
      <c r="BK13" s="110"/>
      <c r="BL13" s="110"/>
      <c r="BM13" s="110"/>
      <c r="BN13" s="113"/>
      <c r="BO13" s="99"/>
      <c r="BP13" s="99"/>
      <c r="BQ13" s="113"/>
      <c r="BR13" s="113"/>
      <c r="BS13" s="113"/>
      <c r="BT13" s="113"/>
      <c r="BU13" s="113"/>
      <c r="BV13" s="99"/>
      <c r="BW13" s="99"/>
      <c r="BX13" s="113"/>
      <c r="BY13" s="113"/>
      <c r="BZ13" s="113"/>
      <c r="CA13" s="113"/>
      <c r="CB13" s="113"/>
      <c r="CC13" s="99"/>
      <c r="CD13" s="99"/>
      <c r="CE13" s="113"/>
      <c r="CF13" s="113"/>
      <c r="CG13" s="113"/>
      <c r="CH13" s="113"/>
      <c r="CI13" s="113"/>
      <c r="CJ13" s="99"/>
      <c r="CK13" s="99"/>
      <c r="CL13" s="113"/>
      <c r="CM13" s="113"/>
      <c r="CN13" s="113"/>
      <c r="CO13" s="113"/>
      <c r="CP13" s="113"/>
      <c r="CQ13" s="99"/>
      <c r="CR13" s="99"/>
      <c r="CS13" s="113"/>
      <c r="CT13" s="113"/>
      <c r="CU13" s="113"/>
      <c r="CV13" s="113"/>
    </row>
    <row r="14" spans="1:100" s="2" customFormat="1" ht="24.95" customHeight="1" x14ac:dyDescent="0.5">
      <c r="A14" s="58"/>
      <c r="B14" s="100" t="s">
        <v>120</v>
      </c>
      <c r="C14" s="102"/>
      <c r="D14" s="102" t="s">
        <v>115</v>
      </c>
      <c r="E14" s="159">
        <v>0</v>
      </c>
      <c r="F14" s="162">
        <v>46225</v>
      </c>
      <c r="G14" s="162">
        <v>46226</v>
      </c>
      <c r="H14" s="105">
        <f t="shared" si="2"/>
        <v>2</v>
      </c>
      <c r="I14" s="109"/>
      <c r="J14" s="115"/>
      <c r="K14" s="111"/>
      <c r="L14" s="111"/>
      <c r="M14" s="115"/>
      <c r="N14" s="115"/>
      <c r="O14" s="115"/>
      <c r="P14" s="115"/>
      <c r="Q14" s="115"/>
      <c r="R14" s="111"/>
      <c r="S14" s="111"/>
      <c r="T14" s="115"/>
      <c r="U14" s="115"/>
      <c r="V14" s="115"/>
      <c r="W14" s="115"/>
      <c r="X14" s="115"/>
      <c r="Y14" s="111"/>
      <c r="Z14" s="111"/>
      <c r="AA14" s="115"/>
      <c r="AB14" s="115"/>
      <c r="AC14" s="112"/>
      <c r="AD14" s="112"/>
      <c r="AE14" s="112"/>
      <c r="AF14" s="111"/>
      <c r="AG14" s="111"/>
      <c r="AH14" s="112"/>
      <c r="AI14" s="112"/>
      <c r="AJ14" s="112"/>
      <c r="AK14" s="112"/>
      <c r="AL14" s="112"/>
      <c r="AM14" s="111"/>
      <c r="AN14" s="111"/>
      <c r="AO14" s="112"/>
      <c r="AP14" s="112"/>
      <c r="AQ14" s="115"/>
      <c r="AR14" s="115"/>
      <c r="AS14" s="115"/>
      <c r="AT14" s="111"/>
      <c r="AU14" s="111"/>
      <c r="AV14" s="115"/>
      <c r="AW14" s="115"/>
      <c r="AX14" s="115"/>
      <c r="AY14" s="115"/>
      <c r="AZ14" s="115"/>
      <c r="BA14" s="111"/>
      <c r="BB14" s="111"/>
      <c r="BC14" s="115"/>
      <c r="BD14" s="115"/>
      <c r="BE14" s="115"/>
      <c r="BF14" s="115"/>
      <c r="BG14" s="115"/>
      <c r="BH14" s="111"/>
      <c r="BI14" s="111"/>
      <c r="BJ14" s="115"/>
      <c r="BK14" s="115"/>
      <c r="BL14" s="115"/>
      <c r="BM14" s="115"/>
      <c r="BN14" s="98"/>
      <c r="BO14" s="99"/>
      <c r="BP14" s="99"/>
      <c r="BQ14" s="98"/>
      <c r="BR14" s="98"/>
      <c r="BS14" s="98"/>
      <c r="BT14" s="98"/>
      <c r="BU14" s="98"/>
      <c r="BV14" s="99"/>
      <c r="BW14" s="99"/>
      <c r="BX14" s="98"/>
      <c r="BY14" s="98"/>
      <c r="BZ14" s="98"/>
      <c r="CA14" s="98"/>
      <c r="CB14" s="98"/>
      <c r="CC14" s="99"/>
      <c r="CD14" s="99"/>
      <c r="CE14" s="98"/>
      <c r="CF14" s="98"/>
      <c r="CG14" s="98"/>
      <c r="CH14" s="98"/>
      <c r="CI14" s="98"/>
      <c r="CJ14" s="99"/>
      <c r="CK14" s="99"/>
      <c r="CL14" s="98"/>
      <c r="CM14" s="98"/>
      <c r="CN14" s="98"/>
      <c r="CO14" s="98"/>
      <c r="CP14" s="98"/>
      <c r="CQ14" s="99"/>
      <c r="CR14" s="99"/>
      <c r="CS14" s="98"/>
      <c r="CT14" s="98"/>
      <c r="CU14" s="98"/>
      <c r="CV14" s="98"/>
    </row>
    <row r="15" spans="1:100" s="2" customFormat="1" ht="24.95" customHeight="1" x14ac:dyDescent="0.5">
      <c r="A15" s="60"/>
      <c r="B15" s="106" t="s">
        <v>121</v>
      </c>
      <c r="C15" s="107"/>
      <c r="D15" s="107" t="s">
        <v>115</v>
      </c>
      <c r="E15" s="158">
        <v>0</v>
      </c>
      <c r="F15" s="161">
        <v>46227</v>
      </c>
      <c r="G15" s="161">
        <v>46227</v>
      </c>
      <c r="H15" s="108">
        <f t="shared" si="2"/>
        <v>1</v>
      </c>
      <c r="I15" s="109"/>
      <c r="J15" s="110"/>
      <c r="K15" s="111"/>
      <c r="L15" s="111"/>
      <c r="M15" s="110"/>
      <c r="N15" s="110"/>
      <c r="O15" s="110"/>
      <c r="P15" s="110"/>
      <c r="Q15" s="110"/>
      <c r="R15" s="111"/>
      <c r="S15" s="111"/>
      <c r="T15" s="110"/>
      <c r="U15" s="110"/>
      <c r="V15" s="110"/>
      <c r="W15" s="110"/>
      <c r="X15" s="110"/>
      <c r="Y15" s="111"/>
      <c r="Z15" s="111"/>
      <c r="AA15" s="110"/>
      <c r="AB15" s="110"/>
      <c r="AC15" s="112"/>
      <c r="AD15" s="112"/>
      <c r="AE15" s="112"/>
      <c r="AF15" s="111"/>
      <c r="AG15" s="111"/>
      <c r="AH15" s="112"/>
      <c r="AI15" s="112"/>
      <c r="AJ15" s="112"/>
      <c r="AK15" s="112"/>
      <c r="AL15" s="112"/>
      <c r="AM15" s="111"/>
      <c r="AN15" s="111"/>
      <c r="AO15" s="112"/>
      <c r="AP15" s="112"/>
      <c r="AQ15" s="112"/>
      <c r="AR15" s="112"/>
      <c r="AS15" s="112"/>
      <c r="AT15" s="111"/>
      <c r="AU15" s="111"/>
      <c r="AV15" s="112"/>
      <c r="AW15" s="112"/>
      <c r="AX15" s="112"/>
      <c r="AY15" s="112"/>
      <c r="AZ15" s="112"/>
      <c r="BA15" s="111"/>
      <c r="BB15" s="111"/>
      <c r="BC15" s="112"/>
      <c r="BD15" s="112"/>
      <c r="BE15" s="112"/>
      <c r="BF15" s="112"/>
      <c r="BG15" s="112"/>
      <c r="BH15" s="111"/>
      <c r="BI15" s="111"/>
      <c r="BJ15" s="112"/>
      <c r="BK15" s="112"/>
      <c r="BL15" s="110"/>
      <c r="BM15" s="110"/>
      <c r="BN15" s="113"/>
      <c r="BO15" s="99"/>
      <c r="BP15" s="99"/>
      <c r="BQ15" s="113"/>
      <c r="BR15" s="113"/>
      <c r="BS15" s="113"/>
      <c r="BT15" s="113"/>
      <c r="BU15" s="113"/>
      <c r="BV15" s="99"/>
      <c r="BW15" s="99"/>
      <c r="BX15" s="113"/>
      <c r="BY15" s="113"/>
      <c r="BZ15" s="113"/>
      <c r="CA15" s="113"/>
      <c r="CB15" s="113"/>
      <c r="CC15" s="99"/>
      <c r="CD15" s="99"/>
      <c r="CE15" s="113"/>
      <c r="CF15" s="113"/>
      <c r="CG15" s="113"/>
      <c r="CH15" s="113"/>
      <c r="CI15" s="113"/>
      <c r="CJ15" s="99"/>
      <c r="CK15" s="99"/>
      <c r="CL15" s="113"/>
      <c r="CM15" s="113"/>
      <c r="CN15" s="113"/>
      <c r="CO15" s="113"/>
      <c r="CP15" s="113"/>
      <c r="CQ15" s="99"/>
      <c r="CR15" s="99"/>
      <c r="CS15" s="113"/>
      <c r="CT15" s="113"/>
      <c r="CU15" s="113"/>
      <c r="CV15" s="113"/>
    </row>
    <row r="16" spans="1:100" s="2" customFormat="1" ht="24.95" customHeight="1" x14ac:dyDescent="0.5">
      <c r="A16" s="60"/>
      <c r="B16" s="100" t="s">
        <v>122</v>
      </c>
      <c r="C16" s="102"/>
      <c r="D16" s="102" t="s">
        <v>115</v>
      </c>
      <c r="E16" s="159">
        <v>0</v>
      </c>
      <c r="F16" s="162">
        <v>46228</v>
      </c>
      <c r="G16" s="162">
        <v>46228</v>
      </c>
      <c r="H16" s="105">
        <f t="shared" si="2"/>
        <v>1</v>
      </c>
      <c r="I16" s="109"/>
      <c r="J16" s="115"/>
      <c r="K16" s="111"/>
      <c r="L16" s="111"/>
      <c r="M16" s="115"/>
      <c r="N16" s="115"/>
      <c r="O16" s="115"/>
      <c r="P16" s="115"/>
      <c r="Q16" s="115"/>
      <c r="R16" s="111"/>
      <c r="S16" s="111"/>
      <c r="T16" s="115"/>
      <c r="U16" s="115"/>
      <c r="V16" s="115"/>
      <c r="W16" s="115"/>
      <c r="X16" s="115"/>
      <c r="Y16" s="111"/>
      <c r="Z16" s="111"/>
      <c r="AA16" s="115"/>
      <c r="AB16" s="115"/>
      <c r="AC16" s="115"/>
      <c r="AD16" s="115"/>
      <c r="AE16" s="115"/>
      <c r="AF16" s="111"/>
      <c r="AG16" s="111"/>
      <c r="AH16" s="115"/>
      <c r="AI16" s="115"/>
      <c r="AJ16" s="115"/>
      <c r="AK16" s="115"/>
      <c r="AL16" s="115"/>
      <c r="AM16" s="111"/>
      <c r="AN16" s="111"/>
      <c r="AO16" s="115"/>
      <c r="AP16" s="115"/>
      <c r="AQ16" s="115"/>
      <c r="AR16" s="115"/>
      <c r="AS16" s="115"/>
      <c r="AT16" s="111"/>
      <c r="AU16" s="111"/>
      <c r="AV16" s="115"/>
      <c r="AW16" s="115"/>
      <c r="AX16" s="115"/>
      <c r="AY16" s="115"/>
      <c r="AZ16" s="115"/>
      <c r="BA16" s="111"/>
      <c r="BB16" s="111"/>
      <c r="BC16" s="115"/>
      <c r="BD16" s="115"/>
      <c r="BE16" s="115"/>
      <c r="BF16" s="115"/>
      <c r="BG16" s="115"/>
      <c r="BH16" s="111"/>
      <c r="BI16" s="111"/>
      <c r="BJ16" s="115"/>
      <c r="BK16" s="115"/>
      <c r="BL16" s="112"/>
      <c r="BM16" s="112"/>
      <c r="BN16" s="116"/>
      <c r="BO16" s="99"/>
      <c r="BP16" s="99"/>
      <c r="BQ16" s="116"/>
      <c r="BR16" s="116"/>
      <c r="BS16" s="116"/>
      <c r="BT16" s="116"/>
      <c r="BU16" s="116"/>
      <c r="BV16" s="99"/>
      <c r="BW16" s="99"/>
      <c r="BX16" s="116"/>
      <c r="BY16" s="116"/>
      <c r="BZ16" s="116"/>
      <c r="CA16" s="116"/>
      <c r="CB16" s="116"/>
      <c r="CC16" s="99"/>
      <c r="CD16" s="99"/>
      <c r="CE16" s="116"/>
      <c r="CF16" s="116"/>
      <c r="CG16" s="116"/>
      <c r="CH16" s="116"/>
      <c r="CI16" s="116"/>
      <c r="CJ16" s="99"/>
      <c r="CK16" s="99"/>
      <c r="CL16" s="116"/>
      <c r="CM16" s="116"/>
      <c r="CN16" s="116"/>
      <c r="CO16" s="116"/>
      <c r="CP16" s="116"/>
      <c r="CQ16" s="99"/>
      <c r="CR16" s="99"/>
      <c r="CS16" s="116"/>
      <c r="CT16" s="116"/>
      <c r="CU16" s="98"/>
      <c r="CV16" s="98"/>
    </row>
    <row r="17" spans="1:100" s="2" customFormat="1" ht="24.95" customHeight="1" x14ac:dyDescent="0.5">
      <c r="A17" s="60"/>
      <c r="B17" s="117"/>
      <c r="C17" s="102"/>
      <c r="D17" s="102"/>
      <c r="E17" s="101"/>
      <c r="F17" s="114"/>
      <c r="G17" s="114"/>
      <c r="H17" s="105"/>
      <c r="I17" s="109"/>
      <c r="J17" s="115"/>
      <c r="K17" s="111"/>
      <c r="L17" s="111"/>
      <c r="M17" s="115"/>
      <c r="N17" s="115"/>
      <c r="O17" s="115"/>
      <c r="P17" s="115"/>
      <c r="Q17" s="115"/>
      <c r="R17" s="111"/>
      <c r="S17" s="111"/>
      <c r="T17" s="115"/>
      <c r="U17" s="115"/>
      <c r="V17" s="115"/>
      <c r="W17" s="115"/>
      <c r="X17" s="115"/>
      <c r="Y17" s="111"/>
      <c r="Z17" s="111"/>
      <c r="AA17" s="115"/>
      <c r="AB17" s="115"/>
      <c r="AC17" s="115"/>
      <c r="AD17" s="115"/>
      <c r="AE17" s="115"/>
      <c r="AF17" s="111"/>
      <c r="AG17" s="111"/>
      <c r="AH17" s="115"/>
      <c r="AI17" s="115"/>
      <c r="AJ17" s="115"/>
      <c r="AK17" s="115"/>
      <c r="AL17" s="115"/>
      <c r="AM17" s="111"/>
      <c r="AN17" s="111"/>
      <c r="AO17" s="115"/>
      <c r="AP17" s="115"/>
      <c r="AQ17" s="115"/>
      <c r="AR17" s="115"/>
      <c r="AS17" s="115"/>
      <c r="AT17" s="111"/>
      <c r="AU17" s="111"/>
      <c r="AV17" s="115"/>
      <c r="AW17" s="115"/>
      <c r="AX17" s="115"/>
      <c r="AY17" s="115"/>
      <c r="AZ17" s="115"/>
      <c r="BA17" s="111"/>
      <c r="BB17" s="111"/>
      <c r="BC17" s="115"/>
      <c r="BD17" s="115"/>
      <c r="BE17" s="115"/>
      <c r="BF17" s="115"/>
      <c r="BG17" s="115"/>
      <c r="BH17" s="111"/>
      <c r="BI17" s="111"/>
      <c r="BJ17" s="115"/>
      <c r="BK17" s="115"/>
      <c r="BL17" s="112"/>
      <c r="BM17" s="112"/>
      <c r="BN17" s="116"/>
      <c r="BO17" s="99"/>
      <c r="BP17" s="99"/>
      <c r="BQ17" s="116"/>
      <c r="BR17" s="116"/>
      <c r="BS17" s="116"/>
      <c r="BT17" s="116"/>
      <c r="BU17" s="116"/>
      <c r="BV17" s="99"/>
      <c r="BW17" s="99"/>
      <c r="BX17" s="116"/>
      <c r="BY17" s="116"/>
      <c r="BZ17" s="116"/>
      <c r="CA17" s="116"/>
      <c r="CB17" s="116"/>
      <c r="CC17" s="99"/>
      <c r="CD17" s="99"/>
      <c r="CE17" s="116"/>
      <c r="CF17" s="116"/>
      <c r="CG17" s="116"/>
      <c r="CH17" s="116"/>
      <c r="CI17" s="116"/>
      <c r="CJ17" s="99"/>
      <c r="CK17" s="99"/>
      <c r="CL17" s="116"/>
      <c r="CM17" s="116"/>
      <c r="CN17" s="116"/>
      <c r="CO17" s="116"/>
      <c r="CP17" s="116"/>
      <c r="CQ17" s="99"/>
      <c r="CR17" s="99"/>
      <c r="CS17" s="116"/>
      <c r="CT17" s="116"/>
      <c r="CU17" s="98"/>
      <c r="CV17" s="98"/>
    </row>
    <row r="18" spans="1:100" s="2" customFormat="1" ht="24.95" customHeight="1" x14ac:dyDescent="0.5">
      <c r="A18" s="58"/>
      <c r="I18" s="109"/>
      <c r="J18" s="110"/>
      <c r="K18" s="111"/>
      <c r="L18" s="111"/>
      <c r="M18" s="110"/>
      <c r="N18" s="110"/>
      <c r="O18" s="110"/>
      <c r="P18" s="110"/>
      <c r="Q18" s="110"/>
      <c r="R18" s="111"/>
      <c r="S18" s="111"/>
      <c r="T18" s="110"/>
      <c r="U18" s="110"/>
      <c r="V18" s="110"/>
      <c r="W18" s="110"/>
      <c r="X18" s="110"/>
      <c r="Y18" s="111"/>
      <c r="Z18" s="111"/>
      <c r="AA18" s="110"/>
      <c r="AB18" s="110"/>
      <c r="AC18" s="110"/>
      <c r="AD18" s="110"/>
      <c r="AE18" s="110"/>
      <c r="AF18" s="111"/>
      <c r="AG18" s="111"/>
      <c r="AH18" s="110"/>
      <c r="AI18" s="110"/>
      <c r="AJ18" s="110"/>
      <c r="AK18" s="110"/>
      <c r="AL18" s="110"/>
      <c r="AM18" s="111"/>
      <c r="AN18" s="111"/>
      <c r="AO18" s="110"/>
      <c r="AP18" s="110"/>
      <c r="AQ18" s="112"/>
      <c r="AR18" s="112"/>
      <c r="AS18" s="112"/>
      <c r="AT18" s="111"/>
      <c r="AU18" s="111"/>
      <c r="AV18" s="110"/>
      <c r="AW18" s="110"/>
      <c r="AX18" s="110"/>
      <c r="AY18" s="110"/>
      <c r="AZ18" s="110"/>
      <c r="BA18" s="111"/>
      <c r="BB18" s="111"/>
      <c r="BC18" s="110"/>
      <c r="BD18" s="110"/>
      <c r="BE18" s="110"/>
      <c r="BF18" s="110"/>
      <c r="BG18" s="110"/>
      <c r="BH18" s="111"/>
      <c r="BI18" s="111"/>
      <c r="BJ18" s="110"/>
      <c r="BK18" s="110"/>
      <c r="BL18" s="110"/>
      <c r="BM18" s="110"/>
      <c r="BN18" s="113"/>
      <c r="BO18" s="99"/>
      <c r="BP18" s="99"/>
      <c r="BQ18" s="113"/>
      <c r="BR18" s="113"/>
      <c r="BS18" s="113"/>
      <c r="BT18" s="113"/>
      <c r="BU18" s="113"/>
      <c r="BV18" s="99"/>
      <c r="BW18" s="99"/>
      <c r="BX18" s="113"/>
      <c r="BY18" s="113"/>
      <c r="BZ18" s="113"/>
      <c r="CA18" s="113"/>
      <c r="CB18" s="113"/>
      <c r="CC18" s="99"/>
      <c r="CD18" s="99"/>
      <c r="CE18" s="113"/>
      <c r="CF18" s="113"/>
      <c r="CG18" s="113"/>
      <c r="CH18" s="113"/>
      <c r="CI18" s="113"/>
      <c r="CJ18" s="99"/>
      <c r="CK18" s="99"/>
      <c r="CL18" s="113"/>
      <c r="CM18" s="113"/>
      <c r="CN18" s="113"/>
      <c r="CO18" s="113"/>
      <c r="CP18" s="113"/>
      <c r="CQ18" s="99"/>
      <c r="CR18" s="99"/>
      <c r="CS18" s="113"/>
      <c r="CT18" s="113"/>
      <c r="CU18" s="113"/>
      <c r="CV18" s="113"/>
    </row>
    <row r="19" spans="1:100" s="2" customFormat="1" ht="24.95" customHeight="1" x14ac:dyDescent="0.5">
      <c r="A19" s="58"/>
      <c r="B19" s="106"/>
      <c r="C19" s="107"/>
      <c r="D19" s="107"/>
      <c r="E19" s="103"/>
      <c r="F19" s="104"/>
      <c r="G19" s="104"/>
      <c r="H19" s="108"/>
      <c r="I19" s="109"/>
      <c r="J19" s="115"/>
      <c r="K19" s="111"/>
      <c r="L19" s="111"/>
      <c r="M19" s="115"/>
      <c r="N19" s="115"/>
      <c r="O19" s="115"/>
      <c r="P19" s="115"/>
      <c r="Q19" s="115"/>
      <c r="R19" s="111"/>
      <c r="S19" s="111"/>
      <c r="T19" s="115"/>
      <c r="U19" s="115"/>
      <c r="V19" s="115"/>
      <c r="W19" s="115"/>
      <c r="X19" s="115"/>
      <c r="Y19" s="111"/>
      <c r="Z19" s="111"/>
      <c r="AA19" s="115"/>
      <c r="AB19" s="115"/>
      <c r="AC19" s="115"/>
      <c r="AD19" s="115"/>
      <c r="AE19" s="115"/>
      <c r="AF19" s="111"/>
      <c r="AG19" s="111"/>
      <c r="AH19" s="115"/>
      <c r="AI19" s="115"/>
      <c r="AJ19" s="115"/>
      <c r="AK19" s="115"/>
      <c r="AL19" s="115"/>
      <c r="AM19" s="111"/>
      <c r="AN19" s="111"/>
      <c r="AO19" s="115"/>
      <c r="AP19" s="115"/>
      <c r="AQ19" s="112"/>
      <c r="AR19" s="112"/>
      <c r="AS19" s="112"/>
      <c r="AT19" s="111"/>
      <c r="AU19" s="111"/>
      <c r="AV19" s="115"/>
      <c r="AW19" s="115"/>
      <c r="AX19" s="115"/>
      <c r="AY19" s="115"/>
      <c r="AZ19" s="115"/>
      <c r="BA19" s="111"/>
      <c r="BB19" s="111"/>
      <c r="BC19" s="115"/>
      <c r="BD19" s="115"/>
      <c r="BE19" s="115"/>
      <c r="BF19" s="115"/>
      <c r="BG19" s="115"/>
      <c r="BH19" s="111"/>
      <c r="BI19" s="111"/>
      <c r="BJ19" s="115"/>
      <c r="BK19" s="115"/>
      <c r="BL19" s="115"/>
      <c r="BM19" s="115"/>
      <c r="BN19" s="98"/>
      <c r="BO19" s="99"/>
      <c r="BP19" s="99"/>
      <c r="BQ19" s="98"/>
      <c r="BR19" s="98"/>
      <c r="BS19" s="98"/>
      <c r="BT19" s="98"/>
      <c r="BU19" s="98"/>
      <c r="BV19" s="99"/>
      <c r="BW19" s="99"/>
      <c r="BX19" s="98"/>
      <c r="BY19" s="98"/>
      <c r="BZ19" s="98"/>
      <c r="CA19" s="98"/>
      <c r="CB19" s="98"/>
      <c r="CC19" s="99"/>
      <c r="CD19" s="99"/>
      <c r="CE19" s="98"/>
      <c r="CF19" s="98"/>
      <c r="CG19" s="98"/>
      <c r="CH19" s="98"/>
      <c r="CI19" s="98"/>
      <c r="CJ19" s="99"/>
      <c r="CK19" s="99"/>
      <c r="CL19" s="98"/>
      <c r="CM19" s="98"/>
      <c r="CN19" s="98"/>
      <c r="CO19" s="98"/>
      <c r="CP19" s="98"/>
      <c r="CQ19" s="99"/>
      <c r="CR19" s="99"/>
      <c r="CS19" s="98"/>
      <c r="CT19" s="98"/>
      <c r="CU19" s="98"/>
      <c r="CV19" s="98"/>
    </row>
    <row r="20" spans="1:100" s="2" customFormat="1" ht="24.95" customHeight="1" x14ac:dyDescent="0.5">
      <c r="A20" s="58"/>
      <c r="B20" s="100"/>
      <c r="C20" s="102"/>
      <c r="D20" s="102"/>
      <c r="E20" s="101"/>
      <c r="F20" s="114"/>
      <c r="G20" s="114"/>
      <c r="H20" s="105"/>
      <c r="I20" s="109"/>
      <c r="J20" s="115"/>
      <c r="K20" s="111"/>
      <c r="L20" s="111"/>
      <c r="M20" s="115"/>
      <c r="N20" s="115"/>
      <c r="O20" s="115"/>
      <c r="P20" s="115"/>
      <c r="Q20" s="115"/>
      <c r="R20" s="111"/>
      <c r="S20" s="111"/>
      <c r="T20" s="115"/>
      <c r="U20" s="115"/>
      <c r="V20" s="115"/>
      <c r="W20" s="115"/>
      <c r="X20" s="115"/>
      <c r="Y20" s="111"/>
      <c r="Z20" s="111"/>
      <c r="AA20" s="115"/>
      <c r="AB20" s="115"/>
      <c r="AC20" s="115"/>
      <c r="AD20" s="115"/>
      <c r="AE20" s="115"/>
      <c r="AF20" s="111"/>
      <c r="AG20" s="111"/>
      <c r="AH20" s="115"/>
      <c r="AI20" s="115"/>
      <c r="AJ20" s="115"/>
      <c r="AK20" s="115"/>
      <c r="AL20" s="115"/>
      <c r="AM20" s="111"/>
      <c r="AN20" s="111"/>
      <c r="AO20" s="115"/>
      <c r="AP20" s="115"/>
      <c r="AQ20" s="112"/>
      <c r="AR20" s="112"/>
      <c r="AS20" s="112"/>
      <c r="AT20" s="111"/>
      <c r="AU20" s="111"/>
      <c r="AV20" s="115"/>
      <c r="AW20" s="115"/>
      <c r="AX20" s="115"/>
      <c r="AY20" s="115"/>
      <c r="AZ20" s="115"/>
      <c r="BA20" s="111"/>
      <c r="BB20" s="111"/>
      <c r="BC20" s="115"/>
      <c r="BD20" s="115"/>
      <c r="BE20" s="115"/>
      <c r="BF20" s="115"/>
      <c r="BG20" s="115"/>
      <c r="BH20" s="111"/>
      <c r="BI20" s="111"/>
      <c r="BJ20" s="115"/>
      <c r="BK20" s="115"/>
      <c r="BL20" s="115"/>
      <c r="BM20" s="115"/>
      <c r="BN20" s="98"/>
      <c r="BO20" s="99"/>
      <c r="BP20" s="99"/>
      <c r="BQ20" s="98"/>
      <c r="BR20" s="98"/>
      <c r="BS20" s="98"/>
      <c r="BT20" s="98"/>
      <c r="BU20" s="98"/>
      <c r="BV20" s="99"/>
      <c r="BW20" s="99"/>
      <c r="BX20" s="98"/>
      <c r="BY20" s="98"/>
      <c r="BZ20" s="98"/>
      <c r="CA20" s="98"/>
      <c r="CB20" s="98"/>
      <c r="CC20" s="99"/>
      <c r="CD20" s="99"/>
      <c r="CE20" s="98"/>
      <c r="CF20" s="98"/>
      <c r="CG20" s="98"/>
      <c r="CH20" s="98"/>
      <c r="CI20" s="98"/>
      <c r="CJ20" s="99"/>
      <c r="CK20" s="99"/>
      <c r="CL20" s="98"/>
      <c r="CM20" s="98"/>
      <c r="CN20" s="98"/>
      <c r="CO20" s="98"/>
      <c r="CP20" s="98"/>
      <c r="CQ20" s="99"/>
      <c r="CR20" s="99"/>
      <c r="CS20" s="98"/>
      <c r="CT20" s="98"/>
      <c r="CU20" s="98"/>
      <c r="CV20" s="98"/>
    </row>
    <row r="21" spans="1:100" s="2" customFormat="1" ht="24.95" customHeight="1" x14ac:dyDescent="0.5">
      <c r="A21" s="58"/>
      <c r="B21" s="106"/>
      <c r="C21" s="107"/>
      <c r="D21" s="107"/>
      <c r="E21" s="103"/>
      <c r="F21" s="104"/>
      <c r="G21" s="104"/>
      <c r="H21" s="108"/>
      <c r="I21" s="109"/>
      <c r="J21" s="110"/>
      <c r="K21" s="111"/>
      <c r="L21" s="111"/>
      <c r="M21" s="110"/>
      <c r="N21" s="110"/>
      <c r="O21" s="110"/>
      <c r="P21" s="110"/>
      <c r="Q21" s="110"/>
      <c r="R21" s="111"/>
      <c r="S21" s="111"/>
      <c r="T21" s="110"/>
      <c r="U21" s="110"/>
      <c r="V21" s="110"/>
      <c r="W21" s="110"/>
      <c r="X21" s="110"/>
      <c r="Y21" s="111"/>
      <c r="Z21" s="111"/>
      <c r="AA21" s="110"/>
      <c r="AB21" s="110"/>
      <c r="AC21" s="118"/>
      <c r="AD21" s="110"/>
      <c r="AE21" s="110"/>
      <c r="AF21" s="111"/>
      <c r="AG21" s="111"/>
      <c r="AH21" s="110"/>
      <c r="AI21" s="110"/>
      <c r="AJ21" s="110"/>
      <c r="AK21" s="110"/>
      <c r="AL21" s="110"/>
      <c r="AM21" s="111"/>
      <c r="AN21" s="111"/>
      <c r="AO21" s="110"/>
      <c r="AP21" s="110"/>
      <c r="AQ21" s="110"/>
      <c r="AR21" s="110"/>
      <c r="AS21" s="110"/>
      <c r="AT21" s="111"/>
      <c r="AU21" s="111"/>
      <c r="AV21" s="110"/>
      <c r="AW21" s="110"/>
      <c r="AX21" s="110"/>
      <c r="AY21" s="110"/>
      <c r="AZ21" s="110"/>
      <c r="BA21" s="111"/>
      <c r="BB21" s="111"/>
      <c r="BC21" s="110"/>
      <c r="BD21" s="110"/>
      <c r="BE21" s="110"/>
      <c r="BF21" s="110"/>
      <c r="BG21" s="110"/>
      <c r="BH21" s="111"/>
      <c r="BI21" s="111"/>
      <c r="BJ21" s="110"/>
      <c r="BK21" s="110"/>
      <c r="BL21" s="110"/>
      <c r="BM21" s="110"/>
      <c r="BN21" s="113"/>
      <c r="BO21" s="99"/>
      <c r="BP21" s="99"/>
      <c r="BQ21" s="113"/>
      <c r="BR21" s="113"/>
      <c r="BS21" s="113"/>
      <c r="BT21" s="113"/>
      <c r="BU21" s="113"/>
      <c r="BV21" s="99"/>
      <c r="BW21" s="99"/>
      <c r="BX21" s="113"/>
      <c r="BY21" s="113"/>
      <c r="BZ21" s="113"/>
      <c r="CA21" s="113"/>
      <c r="CB21" s="113"/>
      <c r="CC21" s="99"/>
      <c r="CD21" s="99"/>
      <c r="CE21" s="113"/>
      <c r="CF21" s="113"/>
      <c r="CG21" s="113"/>
      <c r="CH21" s="113"/>
      <c r="CI21" s="113"/>
      <c r="CJ21" s="99"/>
      <c r="CK21" s="99"/>
      <c r="CL21" s="113"/>
      <c r="CM21" s="113"/>
      <c r="CN21" s="113"/>
      <c r="CO21" s="113"/>
      <c r="CP21" s="113"/>
      <c r="CQ21" s="99"/>
      <c r="CR21" s="99"/>
      <c r="CS21" s="113"/>
      <c r="CT21" s="113"/>
      <c r="CU21" s="113"/>
      <c r="CV21" s="113"/>
    </row>
    <row r="22" spans="1:100" s="2" customFormat="1" ht="24.95" customHeight="1" x14ac:dyDescent="0.5">
      <c r="A22" s="58"/>
      <c r="B22" s="100"/>
      <c r="C22" s="102"/>
      <c r="D22" s="102"/>
      <c r="E22" s="101"/>
      <c r="F22" s="114"/>
      <c r="G22" s="114"/>
      <c r="H22" s="105"/>
      <c r="I22" s="109"/>
      <c r="J22" s="115"/>
      <c r="K22" s="111"/>
      <c r="L22" s="111"/>
      <c r="M22" s="115"/>
      <c r="N22" s="115"/>
      <c r="O22" s="115"/>
      <c r="P22" s="115"/>
      <c r="Q22" s="115"/>
      <c r="R22" s="111"/>
      <c r="S22" s="111"/>
      <c r="T22" s="115"/>
      <c r="U22" s="115"/>
      <c r="V22" s="115"/>
      <c r="W22" s="115"/>
      <c r="X22" s="115"/>
      <c r="Y22" s="111"/>
      <c r="Z22" s="111"/>
      <c r="AA22" s="115"/>
      <c r="AB22" s="115"/>
      <c r="AC22" s="115"/>
      <c r="AD22" s="118"/>
      <c r="AE22" s="118"/>
      <c r="AF22" s="111"/>
      <c r="AG22" s="111"/>
      <c r="AH22" s="118"/>
      <c r="AI22" s="118"/>
      <c r="AJ22" s="118"/>
      <c r="AK22" s="118"/>
      <c r="AL22" s="115"/>
      <c r="AM22" s="111"/>
      <c r="AN22" s="111"/>
      <c r="AO22" s="115"/>
      <c r="AP22" s="115"/>
      <c r="AQ22" s="115"/>
      <c r="AR22" s="115"/>
      <c r="AS22" s="115"/>
      <c r="AT22" s="111"/>
      <c r="AU22" s="111"/>
      <c r="AV22" s="115"/>
      <c r="AW22" s="115"/>
      <c r="AX22" s="115"/>
      <c r="AY22" s="115"/>
      <c r="AZ22" s="115"/>
      <c r="BA22" s="111"/>
      <c r="BB22" s="111"/>
      <c r="BC22" s="115"/>
      <c r="BD22" s="115"/>
      <c r="BE22" s="115"/>
      <c r="BF22" s="115"/>
      <c r="BG22" s="115"/>
      <c r="BH22" s="111"/>
      <c r="BI22" s="111"/>
      <c r="BJ22" s="115"/>
      <c r="BK22" s="115"/>
      <c r="BL22" s="115"/>
      <c r="BM22" s="115"/>
      <c r="BN22" s="98"/>
      <c r="BO22" s="99"/>
      <c r="BP22" s="99"/>
      <c r="BQ22" s="98"/>
      <c r="BR22" s="98"/>
      <c r="BS22" s="98"/>
      <c r="BT22" s="98"/>
      <c r="BU22" s="98"/>
      <c r="BV22" s="99"/>
      <c r="BW22" s="99"/>
      <c r="BX22" s="98"/>
      <c r="BY22" s="98"/>
      <c r="BZ22" s="98"/>
      <c r="CA22" s="98"/>
      <c r="CB22" s="98"/>
      <c r="CC22" s="99"/>
      <c r="CD22" s="99"/>
      <c r="CE22" s="98"/>
      <c r="CF22" s="98"/>
      <c r="CG22" s="98"/>
      <c r="CH22" s="98"/>
      <c r="CI22" s="98"/>
      <c r="CJ22" s="99"/>
      <c r="CK22" s="99"/>
      <c r="CL22" s="98"/>
      <c r="CM22" s="98"/>
      <c r="CN22" s="98"/>
      <c r="CO22" s="98"/>
      <c r="CP22" s="98"/>
      <c r="CQ22" s="99"/>
      <c r="CR22" s="99"/>
      <c r="CS22" s="98"/>
      <c r="CT22" s="98"/>
      <c r="CU22" s="98"/>
      <c r="CV22" s="98"/>
    </row>
    <row r="23" spans="1:100" s="2" customFormat="1" ht="24.95" customHeight="1" x14ac:dyDescent="0.5">
      <c r="A23" s="58"/>
      <c r="B23" s="106"/>
      <c r="C23" s="107"/>
      <c r="D23" s="107"/>
      <c r="E23" s="103"/>
      <c r="F23" s="104"/>
      <c r="G23" s="104"/>
      <c r="H23" s="108"/>
      <c r="I23" s="109"/>
      <c r="J23" s="110"/>
      <c r="K23" s="111"/>
      <c r="L23" s="111"/>
      <c r="M23" s="110"/>
      <c r="N23" s="110"/>
      <c r="O23" s="110"/>
      <c r="P23" s="110"/>
      <c r="Q23" s="110"/>
      <c r="R23" s="111"/>
      <c r="S23" s="111"/>
      <c r="T23" s="110"/>
      <c r="U23" s="110"/>
      <c r="V23" s="110"/>
      <c r="W23" s="110"/>
      <c r="X23" s="110"/>
      <c r="Y23" s="111"/>
      <c r="Z23" s="111"/>
      <c r="AA23" s="110"/>
      <c r="AB23" s="110"/>
      <c r="AC23" s="110"/>
      <c r="AD23" s="110"/>
      <c r="AE23" s="110"/>
      <c r="AF23" s="111"/>
      <c r="AG23" s="111"/>
      <c r="AH23" s="110"/>
      <c r="AI23" s="110"/>
      <c r="AJ23" s="110"/>
      <c r="AK23" s="110"/>
      <c r="AL23" s="118"/>
      <c r="AM23" s="111"/>
      <c r="AN23" s="111"/>
      <c r="AO23" s="118"/>
      <c r="AP23" s="118"/>
      <c r="AQ23" s="118"/>
      <c r="AR23" s="110"/>
      <c r="AS23" s="110"/>
      <c r="AT23" s="111"/>
      <c r="AU23" s="111"/>
      <c r="AV23" s="110"/>
      <c r="AW23" s="110"/>
      <c r="AX23" s="110"/>
      <c r="AY23" s="110"/>
      <c r="AZ23" s="110"/>
      <c r="BA23" s="111"/>
      <c r="BB23" s="111"/>
      <c r="BC23" s="110"/>
      <c r="BD23" s="110"/>
      <c r="BE23" s="110"/>
      <c r="BF23" s="110"/>
      <c r="BG23" s="110"/>
      <c r="BH23" s="111"/>
      <c r="BI23" s="111"/>
      <c r="BJ23" s="110"/>
      <c r="BK23" s="110"/>
      <c r="BL23" s="110"/>
      <c r="BM23" s="110"/>
      <c r="BN23" s="113"/>
      <c r="BO23" s="99"/>
      <c r="BP23" s="99"/>
      <c r="BQ23" s="113"/>
      <c r="BR23" s="113"/>
      <c r="BS23" s="113"/>
      <c r="BT23" s="113"/>
      <c r="BU23" s="113"/>
      <c r="BV23" s="99"/>
      <c r="BW23" s="99"/>
      <c r="BX23" s="113"/>
      <c r="BY23" s="113"/>
      <c r="BZ23" s="113"/>
      <c r="CA23" s="113"/>
      <c r="CB23" s="113"/>
      <c r="CC23" s="99"/>
      <c r="CD23" s="99"/>
      <c r="CE23" s="113"/>
      <c r="CF23" s="113"/>
      <c r="CG23" s="113"/>
      <c r="CH23" s="113"/>
      <c r="CI23" s="113"/>
      <c r="CJ23" s="99"/>
      <c r="CK23" s="99"/>
      <c r="CL23" s="113"/>
      <c r="CM23" s="113"/>
      <c r="CN23" s="113"/>
      <c r="CO23" s="113"/>
      <c r="CP23" s="113"/>
      <c r="CQ23" s="99"/>
      <c r="CR23" s="99"/>
      <c r="CS23" s="113"/>
      <c r="CT23" s="113"/>
      <c r="CU23" s="113"/>
      <c r="CV23" s="113"/>
    </row>
    <row r="24" spans="1:100" s="2" customFormat="1" ht="24.95" customHeight="1" x14ac:dyDescent="0.5">
      <c r="A24" s="58"/>
      <c r="B24" s="100"/>
      <c r="C24" s="102"/>
      <c r="D24" s="102"/>
      <c r="E24" s="101"/>
      <c r="F24" s="114"/>
      <c r="G24" s="114"/>
      <c r="H24" s="105"/>
      <c r="I24" s="109"/>
      <c r="J24" s="115"/>
      <c r="K24" s="111"/>
      <c r="L24" s="111"/>
      <c r="M24" s="115"/>
      <c r="N24" s="115"/>
      <c r="O24" s="115"/>
      <c r="P24" s="115"/>
      <c r="Q24" s="115"/>
      <c r="R24" s="111"/>
      <c r="S24" s="111"/>
      <c r="T24" s="115"/>
      <c r="U24" s="115"/>
      <c r="V24" s="115"/>
      <c r="W24" s="115"/>
      <c r="X24" s="115"/>
      <c r="Y24" s="111"/>
      <c r="Z24" s="111"/>
      <c r="AA24" s="115"/>
      <c r="AB24" s="115"/>
      <c r="AC24" s="115"/>
      <c r="AD24" s="115"/>
      <c r="AE24" s="115"/>
      <c r="AF24" s="111"/>
      <c r="AG24" s="111"/>
      <c r="AH24" s="115"/>
      <c r="AI24" s="115"/>
      <c r="AJ24" s="115"/>
      <c r="AK24" s="115"/>
      <c r="AL24" s="115"/>
      <c r="AM24" s="111"/>
      <c r="AN24" s="111"/>
      <c r="AO24" s="115"/>
      <c r="AP24" s="115"/>
      <c r="AQ24" s="115"/>
      <c r="AR24" s="118"/>
      <c r="AS24" s="118"/>
      <c r="AT24" s="111"/>
      <c r="AU24" s="111"/>
      <c r="AV24" s="115"/>
      <c r="AW24" s="115"/>
      <c r="AX24" s="115"/>
      <c r="AY24" s="115"/>
      <c r="AZ24" s="115"/>
      <c r="BA24" s="111"/>
      <c r="BB24" s="111"/>
      <c r="BC24" s="115"/>
      <c r="BD24" s="115"/>
      <c r="BE24" s="115"/>
      <c r="BF24" s="115"/>
      <c r="BG24" s="115"/>
      <c r="BH24" s="111"/>
      <c r="BI24" s="111"/>
      <c r="BJ24" s="115"/>
      <c r="BK24" s="115"/>
      <c r="BL24" s="115"/>
      <c r="BM24" s="115"/>
      <c r="BN24" s="98"/>
      <c r="BO24" s="99"/>
      <c r="BP24" s="99"/>
      <c r="BQ24" s="98"/>
      <c r="BR24" s="98"/>
      <c r="BS24" s="98"/>
      <c r="BT24" s="98"/>
      <c r="BU24" s="98"/>
      <c r="BV24" s="99"/>
      <c r="BW24" s="99"/>
      <c r="BX24" s="98"/>
      <c r="BY24" s="98"/>
      <c r="BZ24" s="98"/>
      <c r="CA24" s="98"/>
      <c r="CB24" s="98"/>
      <c r="CC24" s="99"/>
      <c r="CD24" s="99"/>
      <c r="CE24" s="98"/>
      <c r="CF24" s="98"/>
      <c r="CG24" s="98"/>
      <c r="CH24" s="98"/>
      <c r="CI24" s="98"/>
      <c r="CJ24" s="99"/>
      <c r="CK24" s="99"/>
      <c r="CL24" s="98"/>
      <c r="CM24" s="98"/>
      <c r="CN24" s="98"/>
      <c r="CO24" s="98"/>
      <c r="CP24" s="98"/>
      <c r="CQ24" s="99"/>
      <c r="CR24" s="99"/>
      <c r="CS24" s="98"/>
      <c r="CT24" s="98"/>
      <c r="CU24" s="98"/>
      <c r="CV24" s="98"/>
    </row>
    <row r="25" spans="1:100" s="2" customFormat="1" ht="24.95" customHeight="1" x14ac:dyDescent="0.5">
      <c r="A25" s="58"/>
      <c r="B25" s="106"/>
      <c r="C25" s="107"/>
      <c r="D25" s="107"/>
      <c r="E25" s="103"/>
      <c r="F25" s="104"/>
      <c r="G25" s="104"/>
      <c r="H25" s="108"/>
      <c r="I25" s="109"/>
      <c r="J25" s="110"/>
      <c r="K25" s="111"/>
      <c r="L25" s="111"/>
      <c r="M25" s="110"/>
      <c r="N25" s="110"/>
      <c r="O25" s="110"/>
      <c r="P25" s="110"/>
      <c r="Q25" s="110"/>
      <c r="R25" s="111"/>
      <c r="S25" s="111"/>
      <c r="T25" s="110"/>
      <c r="U25" s="110"/>
      <c r="V25" s="110"/>
      <c r="W25" s="110"/>
      <c r="X25" s="110"/>
      <c r="Y25" s="111"/>
      <c r="Z25" s="111"/>
      <c r="AA25" s="110"/>
      <c r="AB25" s="110"/>
      <c r="AC25" s="110"/>
      <c r="AD25" s="110"/>
      <c r="AE25" s="110"/>
      <c r="AF25" s="111"/>
      <c r="AG25" s="111"/>
      <c r="AH25" s="110"/>
      <c r="AI25" s="110"/>
      <c r="AJ25" s="110"/>
      <c r="AK25" s="110"/>
      <c r="AL25" s="110"/>
      <c r="AM25" s="111"/>
      <c r="AN25" s="111"/>
      <c r="AO25" s="110"/>
      <c r="AP25" s="110"/>
      <c r="AQ25" s="110"/>
      <c r="AR25" s="110"/>
      <c r="AS25" s="110"/>
      <c r="AT25" s="111"/>
      <c r="AU25" s="111"/>
      <c r="AV25" s="118"/>
      <c r="AW25" s="118"/>
      <c r="AX25" s="118"/>
      <c r="AY25" s="118"/>
      <c r="AZ25" s="118"/>
      <c r="BA25" s="111"/>
      <c r="BB25" s="111"/>
      <c r="BC25" s="118"/>
      <c r="BD25" s="118"/>
      <c r="BE25" s="118"/>
      <c r="BF25" s="118"/>
      <c r="BG25" s="118"/>
      <c r="BH25" s="111"/>
      <c r="BI25" s="111"/>
      <c r="BJ25" s="118"/>
      <c r="BK25" s="118"/>
      <c r="BL25" s="118"/>
      <c r="BM25" s="118"/>
      <c r="BN25" s="119"/>
      <c r="BO25" s="99"/>
      <c r="BP25" s="99"/>
      <c r="BQ25" s="113"/>
      <c r="BR25" s="113"/>
      <c r="BS25" s="113"/>
      <c r="BT25" s="113"/>
      <c r="BU25" s="113"/>
      <c r="BV25" s="99"/>
      <c r="BW25" s="99"/>
      <c r="BX25" s="113"/>
      <c r="BY25" s="113"/>
      <c r="BZ25" s="113"/>
      <c r="CA25" s="113"/>
      <c r="CB25" s="113"/>
      <c r="CC25" s="99"/>
      <c r="CD25" s="99"/>
      <c r="CE25" s="113"/>
      <c r="CF25" s="113"/>
      <c r="CG25" s="113"/>
      <c r="CH25" s="113"/>
      <c r="CI25" s="113"/>
      <c r="CJ25" s="99"/>
      <c r="CK25" s="99"/>
      <c r="CL25" s="113"/>
      <c r="CM25" s="113"/>
      <c r="CN25" s="113"/>
      <c r="CO25" s="113"/>
      <c r="CP25" s="113"/>
      <c r="CQ25" s="99"/>
      <c r="CR25" s="99"/>
      <c r="CS25" s="113"/>
      <c r="CT25" s="113"/>
      <c r="CU25" s="113"/>
      <c r="CV25" s="113"/>
    </row>
    <row r="26" spans="1:100" s="2" customFormat="1" ht="24.95" customHeight="1" x14ac:dyDescent="0.5">
      <c r="A26" s="58"/>
      <c r="B26" s="100"/>
      <c r="C26" s="102"/>
      <c r="D26" s="102"/>
      <c r="E26" s="101"/>
      <c r="F26" s="114"/>
      <c r="G26" s="114"/>
      <c r="H26" s="105"/>
      <c r="I26" s="109"/>
      <c r="J26" s="115"/>
      <c r="K26" s="111"/>
      <c r="L26" s="111"/>
      <c r="M26" s="115"/>
      <c r="N26" s="115"/>
      <c r="O26" s="115"/>
      <c r="P26" s="115"/>
      <c r="Q26" s="115"/>
      <c r="R26" s="111"/>
      <c r="S26" s="111"/>
      <c r="T26" s="115"/>
      <c r="U26" s="115"/>
      <c r="V26" s="115"/>
      <c r="W26" s="115"/>
      <c r="X26" s="115"/>
      <c r="Y26" s="111"/>
      <c r="Z26" s="111"/>
      <c r="AA26" s="115"/>
      <c r="AB26" s="115"/>
      <c r="AC26" s="115"/>
      <c r="AD26" s="115"/>
      <c r="AE26" s="115"/>
      <c r="AF26" s="111"/>
      <c r="AG26" s="111"/>
      <c r="AH26" s="115"/>
      <c r="AI26" s="115"/>
      <c r="AJ26" s="115"/>
      <c r="AK26" s="115"/>
      <c r="AL26" s="115"/>
      <c r="AM26" s="111"/>
      <c r="AN26" s="111"/>
      <c r="AO26" s="115"/>
      <c r="AP26" s="115"/>
      <c r="AQ26" s="115"/>
      <c r="AR26" s="115"/>
      <c r="AS26" s="115"/>
      <c r="AT26" s="111"/>
      <c r="AU26" s="111"/>
      <c r="AV26" s="115"/>
      <c r="AW26" s="115"/>
      <c r="AX26" s="115"/>
      <c r="AY26" s="115"/>
      <c r="AZ26" s="115"/>
      <c r="BA26" s="111"/>
      <c r="BB26" s="111"/>
      <c r="BC26" s="115"/>
      <c r="BD26" s="115"/>
      <c r="BE26" s="115"/>
      <c r="BF26" s="115"/>
      <c r="BG26" s="115"/>
      <c r="BH26" s="111"/>
      <c r="BI26" s="111"/>
      <c r="BJ26" s="115"/>
      <c r="BK26" s="115"/>
      <c r="BL26" s="115"/>
      <c r="BM26" s="115"/>
      <c r="BN26" s="98"/>
      <c r="BO26" s="99"/>
      <c r="BP26" s="99"/>
      <c r="BQ26" s="119"/>
      <c r="BR26" s="119"/>
      <c r="BS26" s="119"/>
      <c r="BT26" s="119"/>
      <c r="BU26" s="119"/>
      <c r="BV26" s="99"/>
      <c r="BW26" s="99"/>
      <c r="BX26" s="98"/>
      <c r="BY26" s="98"/>
      <c r="BZ26" s="98"/>
      <c r="CA26" s="98"/>
      <c r="CB26" s="98"/>
      <c r="CC26" s="99"/>
      <c r="CD26" s="99"/>
      <c r="CE26" s="98"/>
      <c r="CF26" s="98"/>
      <c r="CG26" s="98"/>
      <c r="CH26" s="98"/>
      <c r="CI26" s="98"/>
      <c r="CJ26" s="99"/>
      <c r="CK26" s="99"/>
      <c r="CL26" s="98"/>
      <c r="CM26" s="98"/>
      <c r="CN26" s="98"/>
      <c r="CO26" s="98"/>
      <c r="CP26" s="98"/>
      <c r="CQ26" s="99"/>
      <c r="CR26" s="99"/>
      <c r="CS26" s="98"/>
      <c r="CT26" s="98"/>
      <c r="CU26" s="98"/>
      <c r="CV26" s="98"/>
    </row>
    <row r="27" spans="1:100" s="2" customFormat="1" ht="24.95" customHeight="1" x14ac:dyDescent="0.5">
      <c r="A27" s="58"/>
      <c r="B27" s="106"/>
      <c r="C27" s="107"/>
      <c r="D27" s="107"/>
      <c r="E27" s="103"/>
      <c r="F27" s="104"/>
      <c r="G27" s="104"/>
      <c r="H27" s="108"/>
      <c r="I27" s="109"/>
      <c r="J27" s="110"/>
      <c r="K27" s="111"/>
      <c r="L27" s="111"/>
      <c r="M27" s="110"/>
      <c r="N27" s="110"/>
      <c r="O27" s="110"/>
      <c r="P27" s="110"/>
      <c r="Q27" s="110"/>
      <c r="R27" s="111"/>
      <c r="S27" s="111"/>
      <c r="T27" s="110"/>
      <c r="U27" s="110"/>
      <c r="V27" s="110"/>
      <c r="W27" s="110"/>
      <c r="X27" s="110"/>
      <c r="Y27" s="111"/>
      <c r="Z27" s="111"/>
      <c r="AA27" s="110"/>
      <c r="AB27" s="110"/>
      <c r="AC27" s="110"/>
      <c r="AD27" s="110"/>
      <c r="AE27" s="110"/>
      <c r="AF27" s="111"/>
      <c r="AG27" s="111"/>
      <c r="AH27" s="110"/>
      <c r="AI27" s="110"/>
      <c r="AJ27" s="110"/>
      <c r="AK27" s="110"/>
      <c r="AL27" s="110"/>
      <c r="AM27" s="111"/>
      <c r="AN27" s="111"/>
      <c r="AO27" s="110"/>
      <c r="AP27" s="110"/>
      <c r="AQ27" s="110"/>
      <c r="AR27" s="110"/>
      <c r="AS27" s="110"/>
      <c r="AT27" s="111"/>
      <c r="AU27" s="111"/>
      <c r="AV27" s="110"/>
      <c r="AW27" s="110"/>
      <c r="AX27" s="110"/>
      <c r="AY27" s="110"/>
      <c r="AZ27" s="110"/>
      <c r="BA27" s="111"/>
      <c r="BB27" s="111"/>
      <c r="BC27" s="110"/>
      <c r="BD27" s="110"/>
      <c r="BE27" s="110"/>
      <c r="BF27" s="110"/>
      <c r="BG27" s="110"/>
      <c r="BH27" s="111"/>
      <c r="BI27" s="111"/>
      <c r="BJ27" s="110"/>
      <c r="BK27" s="110"/>
      <c r="BL27" s="110"/>
      <c r="BM27" s="110"/>
      <c r="BN27" s="113"/>
      <c r="BO27" s="99"/>
      <c r="BP27" s="99"/>
      <c r="BQ27" s="113"/>
      <c r="BR27" s="113"/>
      <c r="BS27" s="113"/>
      <c r="BT27" s="113"/>
      <c r="BU27" s="113"/>
      <c r="BV27" s="99"/>
      <c r="BW27" s="99"/>
      <c r="BX27" s="119"/>
      <c r="BY27" s="119"/>
      <c r="BZ27" s="119"/>
      <c r="CA27" s="113"/>
      <c r="CB27" s="113"/>
      <c r="CC27" s="99"/>
      <c r="CD27" s="99"/>
      <c r="CE27" s="113"/>
      <c r="CF27" s="113"/>
      <c r="CG27" s="113"/>
      <c r="CH27" s="113"/>
      <c r="CI27" s="113"/>
      <c r="CJ27" s="99"/>
      <c r="CK27" s="99"/>
      <c r="CL27" s="113"/>
      <c r="CM27" s="113"/>
      <c r="CN27" s="113"/>
      <c r="CO27" s="113"/>
      <c r="CP27" s="113"/>
      <c r="CQ27" s="99"/>
      <c r="CR27" s="99"/>
      <c r="CS27" s="113"/>
      <c r="CT27" s="113"/>
      <c r="CU27" s="113"/>
      <c r="CV27" s="113"/>
    </row>
    <row r="28" spans="1:100" s="2" customFormat="1" ht="24.95" customHeight="1" x14ac:dyDescent="0.5">
      <c r="A28" s="58"/>
      <c r="B28" s="100"/>
      <c r="C28" s="102"/>
      <c r="D28" s="102"/>
      <c r="E28" s="101"/>
      <c r="F28" s="114"/>
      <c r="G28" s="114"/>
      <c r="H28" s="105"/>
      <c r="I28" s="109"/>
      <c r="J28" s="115"/>
      <c r="K28" s="111"/>
      <c r="L28" s="111"/>
      <c r="M28" s="115"/>
      <c r="N28" s="115"/>
      <c r="O28" s="115"/>
      <c r="P28" s="115"/>
      <c r="Q28" s="115"/>
      <c r="R28" s="111"/>
      <c r="S28" s="111"/>
      <c r="T28" s="115"/>
      <c r="U28" s="115"/>
      <c r="V28" s="115"/>
      <c r="W28" s="115"/>
      <c r="X28" s="115"/>
      <c r="Y28" s="111"/>
      <c r="Z28" s="111"/>
      <c r="AA28" s="115"/>
      <c r="AB28" s="115"/>
      <c r="AC28" s="115"/>
      <c r="AD28" s="115"/>
      <c r="AE28" s="115"/>
      <c r="AF28" s="111"/>
      <c r="AG28" s="111"/>
      <c r="AH28" s="115"/>
      <c r="AI28" s="115"/>
      <c r="AJ28" s="115"/>
      <c r="AK28" s="115"/>
      <c r="AL28" s="115"/>
      <c r="AM28" s="111"/>
      <c r="AN28" s="111"/>
      <c r="AO28" s="115"/>
      <c r="AP28" s="115"/>
      <c r="AQ28" s="120"/>
      <c r="AR28" s="115"/>
      <c r="AS28" s="115"/>
      <c r="AT28" s="111"/>
      <c r="AU28" s="111"/>
      <c r="AV28" s="115"/>
      <c r="AW28" s="115"/>
      <c r="AX28" s="115"/>
      <c r="AY28" s="115"/>
      <c r="AZ28" s="115"/>
      <c r="BA28" s="111"/>
      <c r="BB28" s="111"/>
      <c r="BC28" s="115"/>
      <c r="BD28" s="115"/>
      <c r="BE28" s="115"/>
      <c r="BF28" s="115"/>
      <c r="BG28" s="115"/>
      <c r="BH28" s="111"/>
      <c r="BI28" s="111"/>
      <c r="BJ28" s="115"/>
      <c r="BK28" s="115"/>
      <c r="BL28" s="115"/>
      <c r="BM28" s="115"/>
      <c r="BN28" s="98"/>
      <c r="BO28" s="99"/>
      <c r="BP28" s="99"/>
      <c r="BQ28" s="98"/>
      <c r="BR28" s="98"/>
      <c r="BS28" s="98"/>
      <c r="BT28" s="98"/>
      <c r="BU28" s="98"/>
      <c r="BV28" s="99"/>
      <c r="BW28" s="99"/>
      <c r="BX28" s="98"/>
      <c r="BY28" s="98"/>
      <c r="BZ28" s="98"/>
      <c r="CA28" s="98"/>
      <c r="CB28" s="98"/>
      <c r="CC28" s="99"/>
      <c r="CD28" s="99"/>
      <c r="CE28" s="98"/>
      <c r="CF28" s="98"/>
      <c r="CG28" s="98"/>
      <c r="CH28" s="98"/>
      <c r="CI28" s="98"/>
      <c r="CJ28" s="99"/>
      <c r="CK28" s="99"/>
      <c r="CL28" s="98"/>
      <c r="CM28" s="98"/>
      <c r="CN28" s="98"/>
      <c r="CO28" s="98"/>
      <c r="CP28" s="98"/>
      <c r="CQ28" s="99"/>
      <c r="CR28" s="99"/>
      <c r="CS28" s="98"/>
      <c r="CT28" s="98"/>
      <c r="CU28" s="98"/>
      <c r="CV28" s="98"/>
    </row>
    <row r="29" spans="1:100" s="2" customFormat="1" ht="24.95" customHeight="1" x14ac:dyDescent="0.5">
      <c r="A29" s="58"/>
      <c r="B29" s="106"/>
      <c r="C29" s="107"/>
      <c r="D29" s="107"/>
      <c r="E29" s="103"/>
      <c r="F29" s="104"/>
      <c r="G29" s="104"/>
      <c r="H29" s="108"/>
      <c r="I29" s="109"/>
      <c r="J29" s="110"/>
      <c r="K29" s="111"/>
      <c r="L29" s="111"/>
      <c r="M29" s="110"/>
      <c r="N29" s="110"/>
      <c r="O29" s="110"/>
      <c r="P29" s="110"/>
      <c r="Q29" s="110"/>
      <c r="R29" s="111"/>
      <c r="S29" s="111"/>
      <c r="T29" s="110"/>
      <c r="U29" s="110"/>
      <c r="V29" s="110"/>
      <c r="W29" s="110"/>
      <c r="X29" s="110"/>
      <c r="Y29" s="111"/>
      <c r="Z29" s="111"/>
      <c r="AA29" s="110"/>
      <c r="AB29" s="110"/>
      <c r="AC29" s="110"/>
      <c r="AD29" s="110"/>
      <c r="AE29" s="110"/>
      <c r="AF29" s="111"/>
      <c r="AG29" s="111"/>
      <c r="AH29" s="110"/>
      <c r="AI29" s="110"/>
      <c r="AJ29" s="110"/>
      <c r="AK29" s="110"/>
      <c r="AL29" s="110"/>
      <c r="AM29" s="111"/>
      <c r="AN29" s="111"/>
      <c r="AO29" s="110"/>
      <c r="AP29" s="110"/>
      <c r="AQ29" s="110"/>
      <c r="AR29" s="120"/>
      <c r="AS29" s="120"/>
      <c r="AT29" s="111"/>
      <c r="AU29" s="111"/>
      <c r="AV29" s="120"/>
      <c r="AW29" s="110"/>
      <c r="AX29" s="110"/>
      <c r="AY29" s="110"/>
      <c r="AZ29" s="110"/>
      <c r="BA29" s="111"/>
      <c r="BB29" s="111"/>
      <c r="BC29" s="110"/>
      <c r="BD29" s="110"/>
      <c r="BE29" s="110"/>
      <c r="BF29" s="110"/>
      <c r="BG29" s="110"/>
      <c r="BH29" s="111"/>
      <c r="BI29" s="111"/>
      <c r="BJ29" s="110"/>
      <c r="BK29" s="110"/>
      <c r="BL29" s="110"/>
      <c r="BM29" s="110"/>
      <c r="BN29" s="113"/>
      <c r="BO29" s="99"/>
      <c r="BP29" s="99"/>
      <c r="BQ29" s="113"/>
      <c r="BR29" s="113"/>
      <c r="BS29" s="113"/>
      <c r="BT29" s="113"/>
      <c r="BU29" s="113"/>
      <c r="BV29" s="99"/>
      <c r="BW29" s="99"/>
      <c r="BX29" s="113"/>
      <c r="BY29" s="113"/>
      <c r="BZ29" s="113"/>
      <c r="CA29" s="113"/>
      <c r="CB29" s="113"/>
      <c r="CC29" s="99"/>
      <c r="CD29" s="99"/>
      <c r="CE29" s="113"/>
      <c r="CF29" s="113"/>
      <c r="CG29" s="113"/>
      <c r="CH29" s="113"/>
      <c r="CI29" s="113"/>
      <c r="CJ29" s="99"/>
      <c r="CK29" s="99"/>
      <c r="CL29" s="113"/>
      <c r="CM29" s="113"/>
      <c r="CN29" s="113"/>
      <c r="CO29" s="113"/>
      <c r="CP29" s="113"/>
      <c r="CQ29" s="99"/>
      <c r="CR29" s="99"/>
      <c r="CS29" s="113"/>
      <c r="CT29" s="113"/>
      <c r="CU29" s="113"/>
      <c r="CV29" s="113"/>
    </row>
    <row r="30" spans="1:100" s="2" customFormat="1" ht="24.95" customHeight="1" x14ac:dyDescent="0.5">
      <c r="A30" s="58"/>
      <c r="B30" s="100"/>
      <c r="C30" s="102"/>
      <c r="D30" s="102"/>
      <c r="E30" s="101"/>
      <c r="F30" s="114"/>
      <c r="G30" s="114"/>
      <c r="H30" s="105"/>
      <c r="I30" s="109"/>
      <c r="J30" s="115"/>
      <c r="K30" s="111"/>
      <c r="L30" s="111"/>
      <c r="M30" s="115"/>
      <c r="N30" s="115"/>
      <c r="O30" s="115"/>
      <c r="P30" s="115"/>
      <c r="Q30" s="115"/>
      <c r="R30" s="111"/>
      <c r="S30" s="111"/>
      <c r="T30" s="115"/>
      <c r="U30" s="115"/>
      <c r="V30" s="115"/>
      <c r="W30" s="115"/>
      <c r="X30" s="115"/>
      <c r="Y30" s="111"/>
      <c r="Z30" s="111"/>
      <c r="AA30" s="115"/>
      <c r="AB30" s="115"/>
      <c r="AC30" s="115"/>
      <c r="AD30" s="115"/>
      <c r="AE30" s="115"/>
      <c r="AF30" s="111"/>
      <c r="AG30" s="111"/>
      <c r="AH30" s="115"/>
      <c r="AI30" s="115"/>
      <c r="AJ30" s="115"/>
      <c r="AK30" s="115"/>
      <c r="AL30" s="115"/>
      <c r="AM30" s="111"/>
      <c r="AN30" s="111"/>
      <c r="AO30" s="115"/>
      <c r="AP30" s="115"/>
      <c r="AQ30" s="115"/>
      <c r="AR30" s="115"/>
      <c r="AS30" s="115"/>
      <c r="AT30" s="111"/>
      <c r="AU30" s="111"/>
      <c r="AV30" s="115"/>
      <c r="AW30" s="115"/>
      <c r="AX30" s="115"/>
      <c r="AY30" s="115"/>
      <c r="AZ30" s="115"/>
      <c r="BA30" s="111"/>
      <c r="BB30" s="111"/>
      <c r="BC30" s="115"/>
      <c r="BD30" s="115"/>
      <c r="BE30" s="115"/>
      <c r="BF30" s="115"/>
      <c r="BG30" s="115"/>
      <c r="BH30" s="111"/>
      <c r="BI30" s="111"/>
      <c r="BJ30" s="115"/>
      <c r="BK30" s="115"/>
      <c r="BL30" s="115"/>
      <c r="BM30" s="115"/>
      <c r="BN30" s="98"/>
      <c r="BO30" s="99"/>
      <c r="BP30" s="99"/>
      <c r="BQ30" s="121"/>
      <c r="BR30" s="121"/>
      <c r="BS30" s="121"/>
      <c r="BT30" s="121"/>
      <c r="BU30" s="121"/>
      <c r="BV30" s="99"/>
      <c r="BW30" s="99"/>
      <c r="BX30" s="121"/>
      <c r="BY30" s="121"/>
      <c r="BZ30" s="121"/>
      <c r="CA30" s="121"/>
      <c r="CB30" s="121"/>
      <c r="CC30" s="99"/>
      <c r="CD30" s="99"/>
      <c r="CE30" s="121"/>
      <c r="CF30" s="121"/>
      <c r="CG30" s="121"/>
      <c r="CH30" s="121"/>
      <c r="CI30" s="121"/>
      <c r="CJ30" s="99"/>
      <c r="CK30" s="99"/>
      <c r="CL30" s="98"/>
      <c r="CM30" s="98"/>
      <c r="CN30" s="98"/>
      <c r="CO30" s="98"/>
      <c r="CP30" s="98"/>
      <c r="CQ30" s="99"/>
      <c r="CR30" s="99"/>
      <c r="CS30" s="98"/>
      <c r="CT30" s="98"/>
      <c r="CU30" s="98"/>
      <c r="CV30" s="98"/>
    </row>
    <row r="31" spans="1:100" s="2" customFormat="1" ht="24.95" customHeight="1" x14ac:dyDescent="0.5">
      <c r="A31" s="58"/>
      <c r="B31" s="106"/>
      <c r="C31" s="107"/>
      <c r="D31" s="107"/>
      <c r="E31" s="103"/>
      <c r="F31" s="104"/>
      <c r="G31" s="104"/>
      <c r="H31" s="108"/>
      <c r="I31" s="109"/>
      <c r="J31" s="110"/>
      <c r="K31" s="111"/>
      <c r="L31" s="111"/>
      <c r="M31" s="110"/>
      <c r="N31" s="110"/>
      <c r="O31" s="110"/>
      <c r="P31" s="110"/>
      <c r="Q31" s="110"/>
      <c r="R31" s="111"/>
      <c r="S31" s="111"/>
      <c r="T31" s="110"/>
      <c r="U31" s="110"/>
      <c r="V31" s="110"/>
      <c r="W31" s="110"/>
      <c r="X31" s="110"/>
      <c r="Y31" s="111"/>
      <c r="Z31" s="111"/>
      <c r="AA31" s="110"/>
      <c r="AB31" s="110"/>
      <c r="AC31" s="110"/>
      <c r="AD31" s="110"/>
      <c r="AE31" s="110"/>
      <c r="AF31" s="111"/>
      <c r="AG31" s="111"/>
      <c r="AH31" s="110"/>
      <c r="AI31" s="110"/>
      <c r="AJ31" s="110"/>
      <c r="AK31" s="110"/>
      <c r="AL31" s="110"/>
      <c r="AM31" s="111"/>
      <c r="AN31" s="111"/>
      <c r="AO31" s="110"/>
      <c r="AP31" s="110"/>
      <c r="AQ31" s="110"/>
      <c r="AR31" s="110"/>
      <c r="AS31" s="110"/>
      <c r="AT31" s="111"/>
      <c r="AU31" s="111"/>
      <c r="AV31" s="110"/>
      <c r="AW31" s="110"/>
      <c r="AX31" s="110"/>
      <c r="AY31" s="110"/>
      <c r="AZ31" s="110"/>
      <c r="BA31" s="111"/>
      <c r="BB31" s="111"/>
      <c r="BC31" s="110"/>
      <c r="BD31" s="110"/>
      <c r="BE31" s="110"/>
      <c r="BF31" s="110"/>
      <c r="BG31" s="110"/>
      <c r="BH31" s="111"/>
      <c r="BI31" s="111"/>
      <c r="BJ31" s="110"/>
      <c r="BK31" s="110"/>
      <c r="BL31" s="110"/>
      <c r="BM31" s="110"/>
      <c r="BN31" s="113"/>
      <c r="BO31" s="99"/>
      <c r="BP31" s="99"/>
      <c r="BQ31" s="113"/>
      <c r="BR31" s="113"/>
      <c r="BS31" s="113"/>
      <c r="BT31" s="113"/>
      <c r="BU31" s="113"/>
      <c r="BV31" s="99"/>
      <c r="BW31" s="99"/>
      <c r="BX31" s="113"/>
      <c r="BY31" s="113"/>
      <c r="BZ31" s="113"/>
      <c r="CA31" s="113"/>
      <c r="CB31" s="113"/>
      <c r="CC31" s="99"/>
      <c r="CD31" s="99"/>
      <c r="CE31" s="113"/>
      <c r="CF31" s="113"/>
      <c r="CG31" s="113"/>
      <c r="CH31" s="113"/>
      <c r="CI31" s="113"/>
      <c r="CJ31" s="99"/>
      <c r="CK31" s="99"/>
      <c r="CL31" s="121"/>
      <c r="CM31" s="121"/>
      <c r="CN31" s="121"/>
      <c r="CO31" s="121"/>
      <c r="CP31" s="121"/>
      <c r="CQ31" s="99"/>
      <c r="CR31" s="99"/>
      <c r="CS31" s="121"/>
      <c r="CT31" s="121"/>
      <c r="CU31" s="121"/>
      <c r="CV31" s="121"/>
    </row>
    <row r="32" spans="1:100" s="2" customFormat="1" ht="24.95" customHeight="1" x14ac:dyDescent="0.5">
      <c r="A32" s="58"/>
      <c r="B32" s="100"/>
      <c r="C32" s="102"/>
      <c r="D32" s="102"/>
      <c r="E32" s="101"/>
      <c r="F32" s="114"/>
      <c r="G32" s="114"/>
      <c r="H32" s="105"/>
      <c r="I32" s="109"/>
      <c r="J32" s="115"/>
      <c r="K32" s="111"/>
      <c r="L32" s="111"/>
      <c r="M32" s="115"/>
      <c r="N32" s="115"/>
      <c r="O32" s="115"/>
      <c r="P32" s="115"/>
      <c r="Q32" s="115"/>
      <c r="R32" s="111"/>
      <c r="S32" s="111"/>
      <c r="T32" s="115"/>
      <c r="U32" s="115"/>
      <c r="V32" s="115"/>
      <c r="W32" s="115"/>
      <c r="X32" s="115"/>
      <c r="Y32" s="111"/>
      <c r="Z32" s="111"/>
      <c r="AA32" s="115"/>
      <c r="AB32" s="115"/>
      <c r="AC32" s="115"/>
      <c r="AD32" s="115"/>
      <c r="AE32" s="115"/>
      <c r="AF32" s="111"/>
      <c r="AG32" s="111"/>
      <c r="AH32" s="115"/>
      <c r="AI32" s="115"/>
      <c r="AJ32" s="115"/>
      <c r="AK32" s="115"/>
      <c r="AL32" s="115"/>
      <c r="AM32" s="111"/>
      <c r="AN32" s="111"/>
      <c r="AO32" s="115"/>
      <c r="AP32" s="115"/>
      <c r="AQ32" s="115"/>
      <c r="AR32" s="115"/>
      <c r="AS32" s="115"/>
      <c r="AT32" s="111"/>
      <c r="AU32" s="111"/>
      <c r="AV32" s="115"/>
      <c r="AW32" s="115"/>
      <c r="AX32" s="115"/>
      <c r="AY32" s="115"/>
      <c r="AZ32" s="115"/>
      <c r="BA32" s="111"/>
      <c r="BB32" s="111"/>
      <c r="BC32" s="115"/>
      <c r="BD32" s="115"/>
      <c r="BE32" s="115"/>
      <c r="BF32" s="115"/>
      <c r="BG32" s="115"/>
      <c r="BH32" s="111"/>
      <c r="BI32" s="111"/>
      <c r="BJ32" s="115"/>
      <c r="BK32" s="115"/>
      <c r="BL32" s="115"/>
      <c r="BM32" s="115"/>
      <c r="BN32" s="98"/>
      <c r="BO32" s="99"/>
      <c r="BP32" s="99"/>
      <c r="BQ32" s="98"/>
      <c r="BR32" s="98"/>
      <c r="BS32" s="98"/>
      <c r="BT32" s="98"/>
      <c r="BU32" s="98"/>
      <c r="BV32" s="99"/>
      <c r="BW32" s="99"/>
      <c r="BX32" s="98"/>
      <c r="BY32" s="98"/>
      <c r="BZ32" s="98"/>
      <c r="CA32" s="98"/>
      <c r="CB32" s="98"/>
      <c r="CC32" s="99"/>
      <c r="CD32" s="99"/>
      <c r="CE32" s="98"/>
      <c r="CF32" s="98"/>
      <c r="CG32" s="98"/>
      <c r="CH32" s="98"/>
      <c r="CI32" s="98"/>
      <c r="CJ32" s="99"/>
      <c r="CK32" s="99"/>
      <c r="CL32" s="121"/>
      <c r="CM32" s="121"/>
      <c r="CN32" s="121"/>
      <c r="CO32" s="121"/>
      <c r="CP32" s="121"/>
      <c r="CQ32" s="99"/>
      <c r="CR32" s="99"/>
      <c r="CS32" s="121"/>
      <c r="CT32" s="121"/>
      <c r="CU32" s="121"/>
      <c r="CV32" s="98"/>
    </row>
    <row r="33" spans="1:100" s="2" customFormat="1" ht="24.95" customHeight="1" x14ac:dyDescent="0.5">
      <c r="A33" s="58"/>
      <c r="B33" s="106"/>
      <c r="C33" s="107"/>
      <c r="D33" s="107"/>
      <c r="E33" s="103"/>
      <c r="F33" s="104"/>
      <c r="G33" s="104"/>
      <c r="H33" s="108"/>
      <c r="I33" s="109"/>
      <c r="J33" s="110"/>
      <c r="K33" s="111"/>
      <c r="L33" s="111"/>
      <c r="M33" s="110"/>
      <c r="N33" s="110"/>
      <c r="O33" s="110"/>
      <c r="P33" s="110"/>
      <c r="Q33" s="110"/>
      <c r="R33" s="111"/>
      <c r="S33" s="111"/>
      <c r="T33" s="110"/>
      <c r="U33" s="110"/>
      <c r="V33" s="110"/>
      <c r="W33" s="110"/>
      <c r="X33" s="110"/>
      <c r="Y33" s="111"/>
      <c r="Z33" s="111"/>
      <c r="AA33" s="110"/>
      <c r="AB33" s="110"/>
      <c r="AC33" s="110"/>
      <c r="AD33" s="110"/>
      <c r="AE33" s="110"/>
      <c r="AF33" s="111"/>
      <c r="AG33" s="111"/>
      <c r="AH33" s="110"/>
      <c r="AI33" s="110"/>
      <c r="AJ33" s="110"/>
      <c r="AK33" s="110"/>
      <c r="AL33" s="110"/>
      <c r="AM33" s="111"/>
      <c r="AN33" s="111"/>
      <c r="AO33" s="110"/>
      <c r="AP33" s="110"/>
      <c r="AQ33" s="110"/>
      <c r="AR33" s="110"/>
      <c r="AS33" s="110"/>
      <c r="AT33" s="111"/>
      <c r="AU33" s="111"/>
      <c r="AV33" s="110"/>
      <c r="AW33" s="110"/>
      <c r="AX33" s="110"/>
      <c r="AY33" s="110"/>
      <c r="AZ33" s="110"/>
      <c r="BA33" s="111"/>
      <c r="BB33" s="111"/>
      <c r="BC33" s="110"/>
      <c r="BD33" s="110"/>
      <c r="BE33" s="110"/>
      <c r="BF33" s="110"/>
      <c r="BG33" s="110"/>
      <c r="BH33" s="111"/>
      <c r="BI33" s="111"/>
      <c r="BJ33" s="110"/>
      <c r="BK33" s="110"/>
      <c r="BL33" s="110"/>
      <c r="BM33" s="110"/>
      <c r="BN33" s="113"/>
      <c r="BO33" s="99"/>
      <c r="BP33" s="99"/>
      <c r="BQ33" s="113"/>
      <c r="BR33" s="113"/>
      <c r="BS33" s="113"/>
      <c r="BT33" s="113"/>
      <c r="BU33" s="113"/>
      <c r="BV33" s="99"/>
      <c r="BW33" s="99"/>
      <c r="BX33" s="113"/>
      <c r="BY33" s="113"/>
      <c r="BZ33" s="113"/>
      <c r="CA33" s="113"/>
      <c r="CB33" s="113"/>
      <c r="CC33" s="99"/>
      <c r="CD33" s="99"/>
      <c r="CE33" s="113"/>
      <c r="CF33" s="113"/>
      <c r="CG33" s="113"/>
      <c r="CH33" s="113"/>
      <c r="CI33" s="113"/>
      <c r="CJ33" s="99"/>
      <c r="CK33" s="99"/>
      <c r="CL33" s="113"/>
      <c r="CM33" s="113"/>
      <c r="CN33" s="113"/>
      <c r="CO33" s="113"/>
      <c r="CP33" s="113"/>
      <c r="CQ33" s="99"/>
      <c r="CR33" s="99"/>
      <c r="CS33" s="113"/>
      <c r="CT33" s="113"/>
      <c r="CU33" s="113"/>
      <c r="CV33" s="113"/>
    </row>
    <row r="34" spans="1:100" s="2" customFormat="1" ht="24.95" customHeight="1" x14ac:dyDescent="0.5">
      <c r="A34" s="58"/>
      <c r="B34" s="100"/>
      <c r="C34" s="102"/>
      <c r="D34" s="102"/>
      <c r="E34" s="101"/>
      <c r="F34" s="114"/>
      <c r="G34" s="114"/>
      <c r="H34" s="105"/>
      <c r="I34" s="109"/>
      <c r="J34" s="115"/>
      <c r="K34" s="111"/>
      <c r="L34" s="111"/>
      <c r="M34" s="115"/>
      <c r="N34" s="115"/>
      <c r="O34" s="115"/>
      <c r="P34" s="115"/>
      <c r="Q34" s="115"/>
      <c r="R34" s="111"/>
      <c r="S34" s="111"/>
      <c r="T34" s="115"/>
      <c r="U34" s="115"/>
      <c r="V34" s="115"/>
      <c r="W34" s="115"/>
      <c r="X34" s="115"/>
      <c r="Y34" s="111"/>
      <c r="Z34" s="111"/>
      <c r="AA34" s="115"/>
      <c r="AB34" s="115"/>
      <c r="AC34" s="115"/>
      <c r="AD34" s="115"/>
      <c r="AE34" s="115"/>
      <c r="AF34" s="111"/>
      <c r="AG34" s="111"/>
      <c r="AH34" s="115"/>
      <c r="AI34" s="115"/>
      <c r="AJ34" s="115"/>
      <c r="AK34" s="115"/>
      <c r="AL34" s="115"/>
      <c r="AM34" s="111"/>
      <c r="AN34" s="111"/>
      <c r="AO34" s="115"/>
      <c r="AP34" s="115"/>
      <c r="AQ34" s="115"/>
      <c r="AR34" s="115"/>
      <c r="AS34" s="115"/>
      <c r="AT34" s="111"/>
      <c r="AU34" s="111"/>
      <c r="AV34" s="115"/>
      <c r="AW34" s="115"/>
      <c r="AX34" s="115"/>
      <c r="AY34" s="115"/>
      <c r="AZ34" s="115"/>
      <c r="BA34" s="111"/>
      <c r="BB34" s="111"/>
      <c r="BC34" s="115"/>
      <c r="BD34" s="115"/>
      <c r="BE34" s="115"/>
      <c r="BF34" s="115"/>
      <c r="BG34" s="115"/>
      <c r="BH34" s="111"/>
      <c r="BI34" s="111"/>
      <c r="BJ34" s="115"/>
      <c r="BK34" s="115"/>
      <c r="BL34" s="115"/>
      <c r="BM34" s="115"/>
      <c r="BN34" s="98"/>
      <c r="BO34" s="99"/>
      <c r="BP34" s="99"/>
      <c r="BQ34" s="121"/>
      <c r="BR34" s="98"/>
      <c r="BS34" s="98"/>
      <c r="BT34" s="98"/>
      <c r="BU34" s="98"/>
      <c r="BV34" s="99"/>
      <c r="BW34" s="99"/>
      <c r="BX34" s="98"/>
      <c r="BY34" s="98"/>
      <c r="BZ34" s="98"/>
      <c r="CA34" s="98"/>
      <c r="CB34" s="98"/>
      <c r="CC34" s="99"/>
      <c r="CD34" s="99"/>
      <c r="CE34" s="98"/>
      <c r="CF34" s="98"/>
      <c r="CG34" s="98"/>
      <c r="CH34" s="98"/>
      <c r="CI34" s="98"/>
      <c r="CJ34" s="99"/>
      <c r="CK34" s="99"/>
      <c r="CL34" s="98"/>
      <c r="CM34" s="98"/>
      <c r="CN34" s="98"/>
      <c r="CO34" s="98"/>
      <c r="CP34" s="98"/>
      <c r="CQ34" s="99"/>
      <c r="CR34" s="99"/>
      <c r="CS34" s="98"/>
      <c r="CT34" s="98"/>
      <c r="CU34" s="98"/>
      <c r="CV34" s="98"/>
    </row>
    <row r="35" spans="1:100" s="2" customFormat="1" ht="24.95" customHeight="1" x14ac:dyDescent="0.5">
      <c r="A35" s="58"/>
      <c r="B35" s="122"/>
      <c r="C35" s="123"/>
      <c r="D35" s="123"/>
      <c r="E35" s="124"/>
      <c r="F35" s="125"/>
      <c r="G35" s="125"/>
      <c r="H35" s="126"/>
      <c r="I35" s="109"/>
      <c r="J35" s="110"/>
      <c r="K35" s="111"/>
      <c r="L35" s="111"/>
      <c r="M35" s="110"/>
      <c r="N35" s="110"/>
      <c r="O35" s="110"/>
      <c r="P35" s="110"/>
      <c r="Q35" s="110"/>
      <c r="R35" s="111"/>
      <c r="S35" s="111"/>
      <c r="T35" s="110"/>
      <c r="U35" s="110"/>
      <c r="V35" s="110"/>
      <c r="W35" s="110"/>
      <c r="X35" s="110"/>
      <c r="Y35" s="111"/>
      <c r="Z35" s="111"/>
      <c r="AA35" s="110"/>
      <c r="AB35" s="110"/>
      <c r="AC35" s="110"/>
      <c r="AD35" s="110"/>
      <c r="AE35" s="110"/>
      <c r="AF35" s="111"/>
      <c r="AG35" s="111"/>
      <c r="AH35" s="110"/>
      <c r="AI35" s="110"/>
      <c r="AJ35" s="110"/>
      <c r="AK35" s="110"/>
      <c r="AL35" s="110"/>
      <c r="AM35" s="111"/>
      <c r="AN35" s="111"/>
      <c r="AO35" s="110"/>
      <c r="AP35" s="110"/>
      <c r="AQ35" s="110"/>
      <c r="AR35" s="110"/>
      <c r="AS35" s="110"/>
      <c r="AT35" s="111"/>
      <c r="AU35" s="111"/>
      <c r="AV35" s="110"/>
      <c r="AW35" s="110"/>
      <c r="AX35" s="110"/>
      <c r="AY35" s="110"/>
      <c r="AZ35" s="110"/>
      <c r="BA35" s="111"/>
      <c r="BB35" s="111"/>
      <c r="BC35" s="110"/>
      <c r="BD35" s="110"/>
      <c r="BE35" s="110"/>
      <c r="BF35" s="110"/>
      <c r="BG35" s="110"/>
      <c r="BH35" s="111"/>
      <c r="BI35" s="111"/>
      <c r="BJ35" s="110"/>
      <c r="BK35" s="110"/>
      <c r="BL35" s="110"/>
      <c r="BM35" s="110"/>
      <c r="BN35" s="113"/>
      <c r="BO35" s="99"/>
      <c r="BP35" s="99"/>
      <c r="BQ35" s="113"/>
      <c r="BR35" s="113"/>
      <c r="BS35" s="113"/>
      <c r="BT35" s="113"/>
      <c r="BU35" s="113"/>
      <c r="BV35" s="99"/>
      <c r="BW35" s="99"/>
      <c r="BX35" s="113"/>
      <c r="BY35" s="113"/>
      <c r="BZ35" s="113"/>
      <c r="CA35" s="113"/>
      <c r="CB35" s="113"/>
      <c r="CC35" s="99"/>
      <c r="CD35" s="99"/>
      <c r="CE35" s="113"/>
      <c r="CF35" s="113"/>
      <c r="CG35" s="113"/>
      <c r="CH35" s="113"/>
      <c r="CI35" s="113"/>
      <c r="CJ35" s="99"/>
      <c r="CK35" s="99"/>
      <c r="CL35" s="113"/>
      <c r="CM35" s="113"/>
      <c r="CN35" s="113"/>
      <c r="CO35" s="113"/>
      <c r="CP35" s="113"/>
      <c r="CQ35" s="99"/>
      <c r="CR35" s="99"/>
      <c r="CS35" s="113"/>
      <c r="CT35" s="113"/>
      <c r="CU35" s="113"/>
      <c r="CV35" s="127"/>
    </row>
    <row r="36" spans="1:100" s="2" customFormat="1" ht="24.95" customHeight="1" x14ac:dyDescent="0.5">
      <c r="A36" s="58"/>
      <c r="B36" s="100"/>
      <c r="C36" s="102"/>
      <c r="D36" s="102"/>
      <c r="E36" s="101"/>
      <c r="F36" s="114"/>
      <c r="G36" s="114"/>
      <c r="H36" s="105"/>
      <c r="I36" s="109"/>
      <c r="J36" s="115"/>
      <c r="K36" s="111"/>
      <c r="L36" s="111"/>
      <c r="M36" s="115"/>
      <c r="N36" s="115"/>
      <c r="O36" s="115"/>
      <c r="P36" s="115"/>
      <c r="Q36" s="115"/>
      <c r="R36" s="111"/>
      <c r="S36" s="111"/>
      <c r="T36" s="115"/>
      <c r="U36" s="115"/>
      <c r="V36" s="128"/>
      <c r="W36" s="128"/>
      <c r="X36" s="128"/>
      <c r="Y36" s="111"/>
      <c r="Z36" s="111"/>
      <c r="AA36" s="128"/>
      <c r="AB36" s="128"/>
      <c r="AC36" s="128"/>
      <c r="AD36" s="128"/>
      <c r="AE36" s="128"/>
      <c r="AF36" s="111"/>
      <c r="AG36" s="111"/>
      <c r="AH36" s="115"/>
      <c r="AI36" s="115"/>
      <c r="AJ36" s="115"/>
      <c r="AK36" s="115"/>
      <c r="AL36" s="115"/>
      <c r="AM36" s="111"/>
      <c r="AN36" s="111"/>
      <c r="AO36" s="115"/>
      <c r="AP36" s="115"/>
      <c r="AQ36" s="115"/>
      <c r="AR36" s="115"/>
      <c r="AS36" s="115"/>
      <c r="AT36" s="111"/>
      <c r="AU36" s="111"/>
      <c r="AV36" s="115"/>
      <c r="AW36" s="115"/>
      <c r="AX36" s="115"/>
      <c r="AY36" s="115"/>
      <c r="AZ36" s="115"/>
      <c r="BA36" s="111"/>
      <c r="BB36" s="111"/>
      <c r="BC36" s="115"/>
      <c r="BD36" s="115"/>
      <c r="BE36" s="115"/>
      <c r="BF36" s="115"/>
      <c r="BG36" s="115"/>
      <c r="BH36" s="111"/>
      <c r="BI36" s="111"/>
      <c r="BJ36" s="115"/>
      <c r="BK36" s="115"/>
      <c r="BL36" s="115"/>
      <c r="BM36" s="115"/>
      <c r="BN36" s="98"/>
      <c r="BO36" s="99"/>
      <c r="BP36" s="99"/>
      <c r="BQ36" s="98"/>
      <c r="BR36" s="98"/>
      <c r="BS36" s="98"/>
      <c r="BT36" s="98"/>
      <c r="BU36" s="98"/>
      <c r="BV36" s="99"/>
      <c r="BW36" s="99"/>
      <c r="BX36" s="98"/>
      <c r="BY36" s="98"/>
      <c r="BZ36" s="98"/>
      <c r="CA36" s="98"/>
      <c r="CB36" s="98"/>
      <c r="CC36" s="99"/>
      <c r="CD36" s="99"/>
      <c r="CE36" s="98"/>
      <c r="CF36" s="98"/>
      <c r="CG36" s="98"/>
      <c r="CH36" s="98"/>
      <c r="CI36" s="98"/>
      <c r="CJ36" s="99"/>
      <c r="CK36" s="99"/>
      <c r="CL36" s="98"/>
      <c r="CM36" s="98"/>
      <c r="CN36" s="98"/>
      <c r="CO36" s="98"/>
      <c r="CP36" s="98"/>
      <c r="CQ36" s="99"/>
      <c r="CR36" s="99"/>
      <c r="CS36" s="98"/>
      <c r="CT36" s="98"/>
      <c r="CU36" s="98"/>
      <c r="CV36" s="98"/>
    </row>
    <row r="37" spans="1:100" s="2" customFormat="1" ht="24.95" customHeight="1" x14ac:dyDescent="0.5">
      <c r="A37" s="58"/>
      <c r="B37" s="106"/>
      <c r="C37" s="107"/>
      <c r="D37" s="107"/>
      <c r="E37" s="103"/>
      <c r="F37" s="104"/>
      <c r="G37" s="104"/>
      <c r="H37" s="108"/>
      <c r="I37" s="109"/>
      <c r="J37" s="110"/>
      <c r="K37" s="111"/>
      <c r="L37" s="111"/>
      <c r="M37" s="110"/>
      <c r="N37" s="110"/>
      <c r="O37" s="110"/>
      <c r="P37" s="110"/>
      <c r="Q37" s="110"/>
      <c r="R37" s="111"/>
      <c r="S37" s="111"/>
      <c r="T37" s="110"/>
      <c r="U37" s="110"/>
      <c r="V37" s="110"/>
      <c r="W37" s="110"/>
      <c r="X37" s="110"/>
      <c r="Y37" s="111"/>
      <c r="Z37" s="111"/>
      <c r="AA37" s="110"/>
      <c r="AB37" s="110"/>
      <c r="AC37" s="110"/>
      <c r="AD37" s="110"/>
      <c r="AE37" s="110"/>
      <c r="AF37" s="111"/>
      <c r="AG37" s="111"/>
      <c r="AH37" s="110"/>
      <c r="AI37" s="110"/>
      <c r="AJ37" s="110"/>
      <c r="AK37" s="110"/>
      <c r="AL37" s="110"/>
      <c r="AM37" s="111"/>
      <c r="AN37" s="111"/>
      <c r="AO37" s="110"/>
      <c r="AP37" s="110"/>
      <c r="AQ37" s="128"/>
      <c r="AR37" s="128"/>
      <c r="AS37" s="128"/>
      <c r="AT37" s="111"/>
      <c r="AU37" s="111"/>
      <c r="AV37" s="128"/>
      <c r="AW37" s="128"/>
      <c r="AX37" s="110"/>
      <c r="AY37" s="110"/>
      <c r="AZ37" s="110"/>
      <c r="BA37" s="111"/>
      <c r="BB37" s="111"/>
      <c r="BC37" s="110"/>
      <c r="BD37" s="110"/>
      <c r="BE37" s="110"/>
      <c r="BF37" s="110"/>
      <c r="BG37" s="110"/>
      <c r="BH37" s="111"/>
      <c r="BI37" s="111"/>
      <c r="BJ37" s="110"/>
      <c r="BK37" s="110"/>
      <c r="BL37" s="110"/>
      <c r="BM37" s="110"/>
      <c r="BN37" s="113"/>
      <c r="BO37" s="99"/>
      <c r="BP37" s="99"/>
      <c r="BQ37" s="113"/>
      <c r="BR37" s="113"/>
      <c r="BS37" s="113"/>
      <c r="BT37" s="113"/>
      <c r="BU37" s="113"/>
      <c r="BV37" s="99"/>
      <c r="BW37" s="99"/>
      <c r="BX37" s="113"/>
      <c r="BY37" s="113"/>
      <c r="BZ37" s="113"/>
      <c r="CA37" s="113"/>
      <c r="CB37" s="113"/>
      <c r="CC37" s="99"/>
      <c r="CD37" s="99"/>
      <c r="CE37" s="113"/>
      <c r="CF37" s="113"/>
      <c r="CG37" s="113"/>
      <c r="CH37" s="113"/>
      <c r="CI37" s="113"/>
      <c r="CJ37" s="99"/>
      <c r="CK37" s="99"/>
      <c r="CL37" s="113"/>
      <c r="CM37" s="113"/>
      <c r="CN37" s="113"/>
      <c r="CO37" s="113"/>
      <c r="CP37" s="113"/>
      <c r="CQ37" s="99"/>
      <c r="CR37" s="99"/>
      <c r="CS37" s="113"/>
      <c r="CT37" s="113"/>
      <c r="CU37" s="113"/>
      <c r="CV37" s="113"/>
    </row>
    <row r="38" spans="1:100" s="2" customFormat="1" ht="24.95" customHeight="1" x14ac:dyDescent="0.5">
      <c r="A38" s="58"/>
      <c r="B38" s="100"/>
      <c r="C38" s="102"/>
      <c r="D38" s="102"/>
      <c r="E38" s="101"/>
      <c r="F38" s="114"/>
      <c r="G38" s="114"/>
      <c r="H38" s="105"/>
      <c r="I38" s="109"/>
      <c r="J38" s="115"/>
      <c r="K38" s="111"/>
      <c r="L38" s="111"/>
      <c r="M38" s="115"/>
      <c r="N38" s="115"/>
      <c r="O38" s="115"/>
      <c r="P38" s="115"/>
      <c r="Q38" s="115"/>
      <c r="R38" s="111"/>
      <c r="S38" s="111"/>
      <c r="T38" s="115"/>
      <c r="U38" s="115"/>
      <c r="V38" s="115"/>
      <c r="W38" s="115"/>
      <c r="X38" s="115"/>
      <c r="Y38" s="111"/>
      <c r="Z38" s="111"/>
      <c r="AA38" s="115"/>
      <c r="AB38" s="115"/>
      <c r="AC38" s="115"/>
      <c r="AD38" s="115"/>
      <c r="AE38" s="115"/>
      <c r="AF38" s="111"/>
      <c r="AG38" s="111"/>
      <c r="AH38" s="115"/>
      <c r="AI38" s="115"/>
      <c r="AJ38" s="115"/>
      <c r="AK38" s="115"/>
      <c r="AL38" s="115"/>
      <c r="AM38" s="111"/>
      <c r="AN38" s="111"/>
      <c r="AO38" s="115"/>
      <c r="AP38" s="115"/>
      <c r="AQ38" s="115"/>
      <c r="AR38" s="128"/>
      <c r="AS38" s="128"/>
      <c r="AT38" s="111"/>
      <c r="AU38" s="111"/>
      <c r="AV38" s="128"/>
      <c r="AW38" s="128"/>
      <c r="AX38" s="128"/>
      <c r="AY38" s="128"/>
      <c r="AZ38" s="128"/>
      <c r="BA38" s="111"/>
      <c r="BB38" s="111"/>
      <c r="BC38" s="128"/>
      <c r="BD38" s="115"/>
      <c r="BE38" s="115"/>
      <c r="BF38" s="115"/>
      <c r="BG38" s="115"/>
      <c r="BH38" s="111"/>
      <c r="BI38" s="111"/>
      <c r="BJ38" s="115"/>
      <c r="BK38" s="115"/>
      <c r="BL38" s="115"/>
      <c r="BM38" s="115"/>
      <c r="BN38" s="98"/>
      <c r="BO38" s="99"/>
      <c r="BP38" s="99"/>
      <c r="BQ38" s="98"/>
      <c r="BR38" s="98"/>
      <c r="BS38" s="98"/>
      <c r="BT38" s="98"/>
      <c r="BU38" s="98"/>
      <c r="BV38" s="99"/>
      <c r="BW38" s="99"/>
      <c r="BX38" s="98"/>
      <c r="BY38" s="98"/>
      <c r="BZ38" s="98"/>
      <c r="CA38" s="98"/>
      <c r="CB38" s="98"/>
      <c r="CC38" s="99"/>
      <c r="CD38" s="99"/>
      <c r="CE38" s="98"/>
      <c r="CF38" s="98"/>
      <c r="CG38" s="98"/>
      <c r="CH38" s="98"/>
      <c r="CI38" s="98"/>
      <c r="CJ38" s="99"/>
      <c r="CK38" s="99"/>
      <c r="CL38" s="98"/>
      <c r="CM38" s="98"/>
      <c r="CN38" s="98"/>
      <c r="CO38" s="98"/>
      <c r="CP38" s="98"/>
      <c r="CQ38" s="99"/>
      <c r="CR38" s="99"/>
      <c r="CS38" s="98"/>
      <c r="CT38" s="98"/>
      <c r="CU38" s="98"/>
      <c r="CV38" s="98"/>
    </row>
    <row r="39" spans="1:100" s="2" customFormat="1" ht="24.95" customHeight="1" x14ac:dyDescent="0.5">
      <c r="A39" s="58"/>
      <c r="B39" s="106"/>
      <c r="C39" s="107"/>
      <c r="D39" s="107"/>
      <c r="E39" s="103"/>
      <c r="F39" s="104"/>
      <c r="G39" s="104"/>
      <c r="H39" s="108"/>
      <c r="I39" s="109"/>
      <c r="J39" s="110"/>
      <c r="K39" s="111"/>
      <c r="L39" s="111"/>
      <c r="M39" s="110"/>
      <c r="N39" s="110"/>
      <c r="O39" s="110"/>
      <c r="P39" s="110"/>
      <c r="Q39" s="110"/>
      <c r="R39" s="111"/>
      <c r="S39" s="111"/>
      <c r="T39" s="110"/>
      <c r="U39" s="110"/>
      <c r="V39" s="110"/>
      <c r="W39" s="110"/>
      <c r="X39" s="110"/>
      <c r="Y39" s="111"/>
      <c r="Z39" s="111"/>
      <c r="AA39" s="110"/>
      <c r="AB39" s="110"/>
      <c r="AC39" s="110"/>
      <c r="AD39" s="110"/>
      <c r="AE39" s="110"/>
      <c r="AF39" s="111"/>
      <c r="AG39" s="111"/>
      <c r="AH39" s="110"/>
      <c r="AI39" s="110"/>
      <c r="AJ39" s="110"/>
      <c r="AK39" s="110"/>
      <c r="AL39" s="110"/>
      <c r="AM39" s="111"/>
      <c r="AN39" s="111"/>
      <c r="AO39" s="110"/>
      <c r="AP39" s="110"/>
      <c r="AQ39" s="110"/>
      <c r="AR39" s="110"/>
      <c r="AS39" s="110"/>
      <c r="AT39" s="111"/>
      <c r="AU39" s="111"/>
      <c r="AV39" s="110"/>
      <c r="AW39" s="110"/>
      <c r="AX39" s="110"/>
      <c r="AY39" s="110"/>
      <c r="AZ39" s="110"/>
      <c r="BA39" s="111"/>
      <c r="BB39" s="111"/>
      <c r="BC39" s="110"/>
      <c r="BD39" s="110"/>
      <c r="BE39" s="110"/>
      <c r="BF39" s="110"/>
      <c r="BG39" s="110"/>
      <c r="BH39" s="111"/>
      <c r="BI39" s="111"/>
      <c r="BJ39" s="110"/>
      <c r="BK39" s="110"/>
      <c r="BL39" s="110"/>
      <c r="BM39" s="110"/>
      <c r="BN39" s="113"/>
      <c r="BO39" s="99"/>
      <c r="BP39" s="99"/>
      <c r="BQ39" s="129"/>
      <c r="BR39" s="129"/>
      <c r="BS39" s="129"/>
      <c r="BT39" s="129"/>
      <c r="BU39" s="129"/>
      <c r="BV39" s="99"/>
      <c r="BW39" s="99"/>
      <c r="BX39" s="129"/>
      <c r="BY39" s="129"/>
      <c r="BZ39" s="113"/>
      <c r="CA39" s="113"/>
      <c r="CB39" s="113"/>
      <c r="CC39" s="99"/>
      <c r="CD39" s="99"/>
      <c r="CE39" s="113"/>
      <c r="CF39" s="113"/>
      <c r="CG39" s="113"/>
      <c r="CH39" s="113"/>
      <c r="CI39" s="113"/>
      <c r="CJ39" s="99"/>
      <c r="CK39" s="99"/>
      <c r="CL39" s="113"/>
      <c r="CM39" s="113"/>
      <c r="CN39" s="113"/>
      <c r="CO39" s="113"/>
      <c r="CP39" s="113"/>
      <c r="CQ39" s="99"/>
      <c r="CR39" s="99"/>
      <c r="CS39" s="113"/>
      <c r="CT39" s="113"/>
      <c r="CU39" s="113"/>
      <c r="CV39" s="113"/>
    </row>
    <row r="40" spans="1:100" s="2" customFormat="1" ht="24.95" customHeight="1" x14ac:dyDescent="0.5">
      <c r="A40" s="58"/>
      <c r="B40" s="100"/>
      <c r="C40" s="102"/>
      <c r="D40" s="102"/>
      <c r="E40" s="101"/>
      <c r="F40" s="114"/>
      <c r="G40" s="114"/>
      <c r="H40" s="105"/>
      <c r="I40" s="109"/>
      <c r="J40" s="115"/>
      <c r="K40" s="111"/>
      <c r="L40" s="111"/>
      <c r="M40" s="115"/>
      <c r="N40" s="115"/>
      <c r="O40" s="115"/>
      <c r="P40" s="115"/>
      <c r="Q40" s="115"/>
      <c r="R40" s="111"/>
      <c r="S40" s="111"/>
      <c r="T40" s="115"/>
      <c r="U40" s="115"/>
      <c r="V40" s="115"/>
      <c r="W40" s="115"/>
      <c r="X40" s="115"/>
      <c r="Y40" s="111"/>
      <c r="Z40" s="111"/>
      <c r="AA40" s="115"/>
      <c r="AB40" s="115"/>
      <c r="AC40" s="115"/>
      <c r="AD40" s="115"/>
      <c r="AE40" s="115"/>
      <c r="AF40" s="111"/>
      <c r="AG40" s="111"/>
      <c r="AH40" s="115"/>
      <c r="AI40" s="115"/>
      <c r="AJ40" s="115"/>
      <c r="AK40" s="115"/>
      <c r="AL40" s="115"/>
      <c r="AM40" s="111"/>
      <c r="AN40" s="111"/>
      <c r="AO40" s="115"/>
      <c r="AP40" s="115"/>
      <c r="AQ40" s="115"/>
      <c r="AR40" s="115"/>
      <c r="AS40" s="115"/>
      <c r="AT40" s="111"/>
      <c r="AU40" s="111"/>
      <c r="AV40" s="115"/>
      <c r="AW40" s="115"/>
      <c r="AX40" s="128"/>
      <c r="AY40" s="128"/>
      <c r="AZ40" s="128"/>
      <c r="BA40" s="111"/>
      <c r="BB40" s="111"/>
      <c r="BC40" s="128"/>
      <c r="BD40" s="128"/>
      <c r="BE40" s="128"/>
      <c r="BF40" s="115"/>
      <c r="BG40" s="115"/>
      <c r="BH40" s="111"/>
      <c r="BI40" s="111"/>
      <c r="BJ40" s="115"/>
      <c r="BK40" s="115"/>
      <c r="BL40" s="115"/>
      <c r="BM40" s="115"/>
      <c r="BN40" s="98"/>
      <c r="BO40" s="99"/>
      <c r="BP40" s="99"/>
      <c r="BQ40" s="98"/>
      <c r="BR40" s="98"/>
      <c r="BS40" s="98"/>
      <c r="BT40" s="98"/>
      <c r="BU40" s="98"/>
      <c r="BV40" s="99"/>
      <c r="BW40" s="99"/>
      <c r="BX40" s="98"/>
      <c r="BY40" s="98"/>
      <c r="BZ40" s="98"/>
      <c r="CA40" s="98"/>
      <c r="CB40" s="98"/>
      <c r="CC40" s="99"/>
      <c r="CD40" s="99"/>
      <c r="CE40" s="98"/>
      <c r="CF40" s="98"/>
      <c r="CG40" s="98"/>
      <c r="CH40" s="98"/>
      <c r="CI40" s="98"/>
      <c r="CJ40" s="99"/>
      <c r="CK40" s="99"/>
      <c r="CL40" s="98"/>
      <c r="CM40" s="98"/>
      <c r="CN40" s="98"/>
      <c r="CO40" s="98"/>
      <c r="CP40" s="98"/>
      <c r="CQ40" s="99"/>
      <c r="CR40" s="99"/>
      <c r="CS40" s="98"/>
      <c r="CT40" s="98"/>
      <c r="CU40" s="98"/>
      <c r="CV40" s="98"/>
    </row>
    <row r="41" spans="1:100" s="2" customFormat="1" ht="24.95" customHeight="1" x14ac:dyDescent="0.5">
      <c r="A41" s="58"/>
      <c r="B41" s="106"/>
      <c r="C41" s="107"/>
      <c r="D41" s="107"/>
      <c r="E41" s="103"/>
      <c r="F41" s="104"/>
      <c r="G41" s="104"/>
      <c r="H41" s="108"/>
      <c r="I41" s="109"/>
      <c r="J41" s="110"/>
      <c r="K41" s="111"/>
      <c r="L41" s="111"/>
      <c r="M41" s="110"/>
      <c r="N41" s="110"/>
      <c r="O41" s="110"/>
      <c r="P41" s="110"/>
      <c r="Q41" s="110"/>
      <c r="R41" s="111"/>
      <c r="S41" s="111"/>
      <c r="T41" s="110"/>
      <c r="U41" s="110"/>
      <c r="V41" s="110"/>
      <c r="W41" s="110"/>
      <c r="X41" s="110"/>
      <c r="Y41" s="111"/>
      <c r="Z41" s="111"/>
      <c r="AA41" s="110"/>
      <c r="AB41" s="110"/>
      <c r="AC41" s="110"/>
      <c r="AD41" s="110"/>
      <c r="AE41" s="110"/>
      <c r="AF41" s="111"/>
      <c r="AG41" s="111"/>
      <c r="AH41" s="110"/>
      <c r="AI41" s="110"/>
      <c r="AJ41" s="110"/>
      <c r="AK41" s="110"/>
      <c r="AL41" s="110"/>
      <c r="AM41" s="111"/>
      <c r="AN41" s="111"/>
      <c r="AO41" s="110"/>
      <c r="AP41" s="110"/>
      <c r="AQ41" s="110"/>
      <c r="AR41" s="110"/>
      <c r="AS41" s="110"/>
      <c r="AT41" s="111"/>
      <c r="AU41" s="111"/>
      <c r="AV41" s="110"/>
      <c r="AW41" s="110"/>
      <c r="AX41" s="110"/>
      <c r="AY41" s="110"/>
      <c r="AZ41" s="110"/>
      <c r="BA41" s="111"/>
      <c r="BB41" s="111"/>
      <c r="BC41" s="110"/>
      <c r="BD41" s="110"/>
      <c r="BE41" s="110"/>
      <c r="BF41" s="110"/>
      <c r="BG41" s="110"/>
      <c r="BH41" s="111"/>
      <c r="BI41" s="111"/>
      <c r="BJ41" s="110"/>
      <c r="BK41" s="110"/>
      <c r="BL41" s="110"/>
      <c r="BM41" s="110"/>
      <c r="BN41" s="113"/>
      <c r="BO41" s="99"/>
      <c r="BP41" s="99"/>
      <c r="BQ41" s="113"/>
      <c r="BR41" s="113"/>
      <c r="BS41" s="113"/>
      <c r="BT41" s="113"/>
      <c r="BU41" s="113"/>
      <c r="BV41" s="99"/>
      <c r="BW41" s="99"/>
      <c r="BX41" s="113"/>
      <c r="BY41" s="113"/>
      <c r="BZ41" s="129"/>
      <c r="CA41" s="129"/>
      <c r="CB41" s="129"/>
      <c r="CC41" s="99"/>
      <c r="CD41" s="99"/>
      <c r="CE41" s="129"/>
      <c r="CF41" s="129"/>
      <c r="CG41" s="113"/>
      <c r="CH41" s="113"/>
      <c r="CI41" s="113"/>
      <c r="CJ41" s="99"/>
      <c r="CK41" s="99"/>
      <c r="CL41" s="113"/>
      <c r="CM41" s="113"/>
      <c r="CN41" s="113"/>
      <c r="CO41" s="113"/>
      <c r="CP41" s="113"/>
      <c r="CQ41" s="99"/>
      <c r="CR41" s="99"/>
      <c r="CS41" s="113"/>
      <c r="CT41" s="113"/>
      <c r="CU41" s="113"/>
      <c r="CV41" s="113"/>
    </row>
    <row r="42" spans="1:100" s="2" customFormat="1" ht="24.95" customHeight="1" x14ac:dyDescent="0.5">
      <c r="A42" s="58"/>
      <c r="B42" s="100"/>
      <c r="C42" s="102"/>
      <c r="D42" s="102"/>
      <c r="E42" s="101"/>
      <c r="F42" s="114"/>
      <c r="G42" s="114"/>
      <c r="H42" s="105"/>
      <c r="I42" s="109"/>
      <c r="J42" s="115"/>
      <c r="K42" s="111"/>
      <c r="L42" s="111"/>
      <c r="M42" s="115"/>
      <c r="N42" s="115"/>
      <c r="O42" s="115"/>
      <c r="P42" s="115"/>
      <c r="Q42" s="115"/>
      <c r="R42" s="111"/>
      <c r="S42" s="111"/>
      <c r="T42" s="115"/>
      <c r="U42" s="115"/>
      <c r="V42" s="115"/>
      <c r="W42" s="115"/>
      <c r="X42" s="115"/>
      <c r="Y42" s="111"/>
      <c r="Z42" s="111"/>
      <c r="AA42" s="115"/>
      <c r="AB42" s="115"/>
      <c r="AC42" s="115"/>
      <c r="AD42" s="115"/>
      <c r="AE42" s="115"/>
      <c r="AF42" s="111"/>
      <c r="AG42" s="111"/>
      <c r="AH42" s="115"/>
      <c r="AI42" s="115"/>
      <c r="AJ42" s="115"/>
      <c r="AK42" s="115"/>
      <c r="AL42" s="115"/>
      <c r="AM42" s="111"/>
      <c r="AN42" s="111"/>
      <c r="AO42" s="115"/>
      <c r="AP42" s="115"/>
      <c r="AQ42" s="115"/>
      <c r="AR42" s="115"/>
      <c r="AS42" s="115"/>
      <c r="AT42" s="111"/>
      <c r="AU42" s="111"/>
      <c r="AV42" s="115"/>
      <c r="AW42" s="115"/>
      <c r="AX42" s="115"/>
      <c r="AY42" s="115"/>
      <c r="AZ42" s="115"/>
      <c r="BA42" s="111"/>
      <c r="BB42" s="111"/>
      <c r="BC42" s="115"/>
      <c r="BD42" s="115"/>
      <c r="BE42" s="115"/>
      <c r="BF42" s="115"/>
      <c r="BG42" s="115"/>
      <c r="BH42" s="111"/>
      <c r="BI42" s="111"/>
      <c r="BJ42" s="115"/>
      <c r="BK42" s="115"/>
      <c r="BL42" s="115"/>
      <c r="BM42" s="115"/>
      <c r="BN42" s="98"/>
      <c r="BO42" s="99"/>
      <c r="BP42" s="99"/>
      <c r="BQ42" s="98"/>
      <c r="BR42" s="98"/>
      <c r="BS42" s="98"/>
      <c r="BT42" s="98"/>
      <c r="BU42" s="98"/>
      <c r="BV42" s="99"/>
      <c r="BW42" s="99"/>
      <c r="BX42" s="98"/>
      <c r="BY42" s="98"/>
      <c r="BZ42" s="98"/>
      <c r="CA42" s="98"/>
      <c r="CB42" s="98"/>
      <c r="CC42" s="99"/>
      <c r="CD42" s="99"/>
      <c r="CE42" s="98"/>
      <c r="CF42" s="98"/>
      <c r="CG42" s="98"/>
      <c r="CH42" s="98"/>
      <c r="CI42" s="98"/>
      <c r="CJ42" s="99"/>
      <c r="CK42" s="99"/>
      <c r="CL42" s="98"/>
      <c r="CM42" s="98"/>
      <c r="CN42" s="98"/>
      <c r="CO42" s="98"/>
      <c r="CP42" s="98"/>
      <c r="CQ42" s="99"/>
      <c r="CR42" s="99"/>
      <c r="CS42" s="98"/>
      <c r="CT42" s="98"/>
      <c r="CU42" s="98"/>
      <c r="CV42" s="129"/>
    </row>
    <row r="43" spans="1:100" s="2" customFormat="1" ht="24.95" customHeight="1" x14ac:dyDescent="0.5">
      <c r="A43" s="58"/>
      <c r="B43" s="106"/>
      <c r="C43" s="107"/>
      <c r="D43" s="107"/>
      <c r="E43" s="103"/>
      <c r="F43" s="104"/>
      <c r="G43" s="104"/>
      <c r="H43" s="108"/>
      <c r="I43" s="109"/>
      <c r="J43" s="110"/>
      <c r="K43" s="111"/>
      <c r="L43" s="111"/>
      <c r="M43" s="110"/>
      <c r="N43" s="110"/>
      <c r="O43" s="110"/>
      <c r="P43" s="110"/>
      <c r="Q43" s="110"/>
      <c r="R43" s="111"/>
      <c r="S43" s="111"/>
      <c r="T43" s="110"/>
      <c r="U43" s="110"/>
      <c r="V43" s="110"/>
      <c r="W43" s="110"/>
      <c r="X43" s="110"/>
      <c r="Y43" s="111"/>
      <c r="Z43" s="111"/>
      <c r="AA43" s="110"/>
      <c r="AB43" s="110"/>
      <c r="AC43" s="110"/>
      <c r="AD43" s="110"/>
      <c r="AE43" s="110"/>
      <c r="AF43" s="111"/>
      <c r="AG43" s="111"/>
      <c r="AH43" s="110"/>
      <c r="AI43" s="110"/>
      <c r="AJ43" s="110"/>
      <c r="AK43" s="110"/>
      <c r="AL43" s="110"/>
      <c r="AM43" s="111"/>
      <c r="AN43" s="111"/>
      <c r="AO43" s="110"/>
      <c r="AP43" s="110"/>
      <c r="AQ43" s="110"/>
      <c r="AR43" s="110"/>
      <c r="AS43" s="110"/>
      <c r="AT43" s="111"/>
      <c r="AU43" s="111"/>
      <c r="AV43" s="110"/>
      <c r="AW43" s="110"/>
      <c r="AX43" s="110"/>
      <c r="AY43" s="110"/>
      <c r="AZ43" s="110"/>
      <c r="BA43" s="111"/>
      <c r="BB43" s="111"/>
      <c r="BC43" s="110"/>
      <c r="BD43" s="110"/>
      <c r="BE43" s="110"/>
      <c r="BF43" s="110"/>
      <c r="BG43" s="110"/>
      <c r="BH43" s="111"/>
      <c r="BI43" s="111"/>
      <c r="BJ43" s="110"/>
      <c r="BK43" s="110"/>
      <c r="BL43" s="110"/>
      <c r="BM43" s="110"/>
      <c r="BN43" s="113"/>
      <c r="BO43" s="99"/>
      <c r="BP43" s="99"/>
      <c r="BQ43" s="113"/>
      <c r="BR43" s="113"/>
      <c r="BS43" s="113"/>
      <c r="BT43" s="113"/>
      <c r="BU43" s="113"/>
      <c r="BV43" s="99"/>
      <c r="BW43" s="99"/>
      <c r="BX43" s="113"/>
      <c r="BY43" s="113"/>
      <c r="BZ43" s="113"/>
      <c r="CA43" s="129"/>
      <c r="CB43" s="129"/>
      <c r="CC43" s="99"/>
      <c r="CD43" s="99"/>
      <c r="CE43" s="129"/>
      <c r="CF43" s="129"/>
      <c r="CG43" s="129"/>
      <c r="CH43" s="129"/>
      <c r="CI43" s="129"/>
      <c r="CJ43" s="99"/>
      <c r="CK43" s="99"/>
      <c r="CL43" s="129"/>
      <c r="CM43" s="113"/>
      <c r="CN43" s="113"/>
      <c r="CO43" s="113"/>
      <c r="CP43" s="113"/>
      <c r="CQ43" s="99"/>
      <c r="CR43" s="99"/>
      <c r="CS43" s="113"/>
      <c r="CT43" s="113"/>
      <c r="CU43" s="113"/>
      <c r="CV43" s="113"/>
    </row>
    <row r="44" spans="1:100" s="2" customFormat="1" ht="24.95" customHeight="1" x14ac:dyDescent="0.5">
      <c r="A44" s="58"/>
      <c r="B44" s="100"/>
      <c r="C44" s="102"/>
      <c r="D44" s="102"/>
      <c r="E44" s="101"/>
      <c r="F44" s="114"/>
      <c r="G44" s="114"/>
      <c r="H44" s="105"/>
      <c r="I44" s="109"/>
      <c r="J44" s="115"/>
      <c r="K44" s="111"/>
      <c r="L44" s="111"/>
      <c r="M44" s="115"/>
      <c r="N44" s="115"/>
      <c r="O44" s="115"/>
      <c r="P44" s="115"/>
      <c r="Q44" s="115"/>
      <c r="R44" s="111"/>
      <c r="S44" s="111"/>
      <c r="T44" s="115"/>
      <c r="U44" s="115"/>
      <c r="V44" s="115"/>
      <c r="W44" s="115"/>
      <c r="X44" s="115"/>
      <c r="Y44" s="111"/>
      <c r="Z44" s="111"/>
      <c r="AA44" s="115"/>
      <c r="AB44" s="115"/>
      <c r="AC44" s="115"/>
      <c r="AD44" s="115"/>
      <c r="AE44" s="115"/>
      <c r="AF44" s="111"/>
      <c r="AG44" s="111"/>
      <c r="AH44" s="115"/>
      <c r="AI44" s="115"/>
      <c r="AJ44" s="115"/>
      <c r="AK44" s="115"/>
      <c r="AL44" s="115"/>
      <c r="AM44" s="111"/>
      <c r="AN44" s="111"/>
      <c r="AO44" s="115"/>
      <c r="AP44" s="115"/>
      <c r="AQ44" s="115"/>
      <c r="AR44" s="115"/>
      <c r="AS44" s="115"/>
      <c r="AT44" s="111"/>
      <c r="AU44" s="111"/>
      <c r="AV44" s="115"/>
      <c r="AW44" s="115"/>
      <c r="AX44" s="115"/>
      <c r="AY44" s="115"/>
      <c r="AZ44" s="115"/>
      <c r="BA44" s="111"/>
      <c r="BB44" s="111"/>
      <c r="BC44" s="115"/>
      <c r="BD44" s="115"/>
      <c r="BE44" s="115"/>
      <c r="BF44" s="115"/>
      <c r="BG44" s="115"/>
      <c r="BH44" s="111"/>
      <c r="BI44" s="111"/>
      <c r="BJ44" s="115"/>
      <c r="BK44" s="115"/>
      <c r="BL44" s="115"/>
      <c r="BM44" s="115"/>
      <c r="BN44" s="98"/>
      <c r="BO44" s="99"/>
      <c r="BP44" s="99"/>
      <c r="BQ44" s="98"/>
      <c r="BR44" s="98"/>
      <c r="BS44" s="98"/>
      <c r="BT44" s="98"/>
      <c r="BU44" s="98"/>
      <c r="BV44" s="99"/>
      <c r="BW44" s="99"/>
      <c r="BX44" s="98"/>
      <c r="BY44" s="98"/>
      <c r="BZ44" s="98"/>
      <c r="CA44" s="98"/>
      <c r="CB44" s="98"/>
      <c r="CC44" s="99"/>
      <c r="CD44" s="99"/>
      <c r="CE44" s="98"/>
      <c r="CF44" s="98"/>
      <c r="CG44" s="98"/>
      <c r="CH44" s="98"/>
      <c r="CI44" s="98"/>
      <c r="CJ44" s="99"/>
      <c r="CK44" s="99"/>
      <c r="CL44" s="98"/>
      <c r="CM44" s="98"/>
      <c r="CN44" s="98"/>
      <c r="CO44" s="98"/>
      <c r="CP44" s="98"/>
      <c r="CQ44" s="99"/>
      <c r="CR44" s="99"/>
      <c r="CS44" s="98"/>
      <c r="CT44" s="98"/>
      <c r="CU44" s="98"/>
      <c r="CV44" s="98"/>
    </row>
    <row r="45" spans="1:100" s="2" customFormat="1" ht="24.95" customHeight="1" x14ac:dyDescent="0.5">
      <c r="A45" s="58"/>
      <c r="B45" s="106"/>
      <c r="C45" s="107"/>
      <c r="D45" s="107"/>
      <c r="E45" s="103"/>
      <c r="F45" s="104"/>
      <c r="G45" s="104"/>
      <c r="H45" s="108"/>
      <c r="I45" s="109"/>
      <c r="J45" s="110"/>
      <c r="K45" s="111"/>
      <c r="L45" s="111"/>
      <c r="M45" s="110"/>
      <c r="N45" s="110"/>
      <c r="O45" s="110"/>
      <c r="P45" s="110"/>
      <c r="Q45" s="110"/>
      <c r="R45" s="111"/>
      <c r="S45" s="111"/>
      <c r="T45" s="110"/>
      <c r="U45" s="110"/>
      <c r="V45" s="110"/>
      <c r="W45" s="110"/>
      <c r="X45" s="110"/>
      <c r="Y45" s="111"/>
      <c r="Z45" s="111"/>
      <c r="AA45" s="110"/>
      <c r="AB45" s="110"/>
      <c r="AC45" s="110"/>
      <c r="AD45" s="110"/>
      <c r="AE45" s="110"/>
      <c r="AF45" s="111"/>
      <c r="AG45" s="111"/>
      <c r="AH45" s="110"/>
      <c r="AI45" s="110"/>
      <c r="AJ45" s="110"/>
      <c r="AK45" s="110"/>
      <c r="AL45" s="110"/>
      <c r="AM45" s="111"/>
      <c r="AN45" s="111"/>
      <c r="AO45" s="110"/>
      <c r="AP45" s="110"/>
      <c r="AQ45" s="110"/>
      <c r="AR45" s="110"/>
      <c r="AS45" s="110"/>
      <c r="AT45" s="111"/>
      <c r="AU45" s="111"/>
      <c r="AV45" s="110"/>
      <c r="AW45" s="110"/>
      <c r="AX45" s="128"/>
      <c r="AY45" s="110"/>
      <c r="AZ45" s="110"/>
      <c r="BA45" s="111"/>
      <c r="BB45" s="111"/>
      <c r="BC45" s="110"/>
      <c r="BD45" s="110"/>
      <c r="BE45" s="110"/>
      <c r="BF45" s="110"/>
      <c r="BG45" s="110"/>
      <c r="BH45" s="111"/>
      <c r="BI45" s="111"/>
      <c r="BJ45" s="110"/>
      <c r="BK45" s="110"/>
      <c r="BL45" s="110"/>
      <c r="BM45" s="110"/>
      <c r="BN45" s="130"/>
      <c r="BO45" s="99"/>
      <c r="BP45" s="99"/>
      <c r="BQ45" s="113"/>
      <c r="BR45" s="113"/>
      <c r="BS45" s="113"/>
      <c r="BT45" s="113"/>
      <c r="BU45" s="113"/>
      <c r="BV45" s="99"/>
      <c r="BW45" s="99"/>
      <c r="BX45" s="113"/>
      <c r="BY45" s="113"/>
      <c r="BZ45" s="113"/>
      <c r="CA45" s="113"/>
      <c r="CB45" s="113"/>
      <c r="CC45" s="99"/>
      <c r="CD45" s="99"/>
      <c r="CE45" s="113"/>
      <c r="CF45" s="113"/>
      <c r="CG45" s="113"/>
      <c r="CH45" s="113"/>
      <c r="CI45" s="113"/>
      <c r="CJ45" s="99"/>
      <c r="CK45" s="99"/>
      <c r="CL45" s="113"/>
      <c r="CM45" s="113"/>
      <c r="CN45" s="113"/>
      <c r="CO45" s="113"/>
      <c r="CP45" s="113"/>
      <c r="CQ45" s="99"/>
      <c r="CR45" s="99"/>
      <c r="CS45" s="113"/>
      <c r="CT45" s="113"/>
      <c r="CU45" s="113"/>
      <c r="CV45" s="113"/>
    </row>
    <row r="46" spans="1:100" s="2" customFormat="1" ht="24.95" customHeight="1" x14ac:dyDescent="0.5">
      <c r="A46" s="58"/>
      <c r="B46" s="100"/>
      <c r="C46" s="102"/>
      <c r="D46" s="102"/>
      <c r="E46" s="101"/>
      <c r="F46" s="114"/>
      <c r="G46" s="114"/>
      <c r="H46" s="105"/>
      <c r="I46" s="109"/>
      <c r="J46" s="115"/>
      <c r="K46" s="111"/>
      <c r="L46" s="111"/>
      <c r="M46" s="115"/>
      <c r="N46" s="115"/>
      <c r="O46" s="115"/>
      <c r="P46" s="115"/>
      <c r="Q46" s="115"/>
      <c r="R46" s="111"/>
      <c r="S46" s="111"/>
      <c r="T46" s="115"/>
      <c r="U46" s="115"/>
      <c r="V46" s="115"/>
      <c r="W46" s="115"/>
      <c r="X46" s="115"/>
      <c r="Y46" s="111"/>
      <c r="Z46" s="111"/>
      <c r="AA46" s="115"/>
      <c r="AB46" s="115"/>
      <c r="AC46" s="115"/>
      <c r="AD46" s="115"/>
      <c r="AE46" s="115"/>
      <c r="AF46" s="111"/>
      <c r="AG46" s="111"/>
      <c r="AH46" s="115"/>
      <c r="AI46" s="115"/>
      <c r="AJ46" s="115"/>
      <c r="AK46" s="115"/>
      <c r="AL46" s="115"/>
      <c r="AM46" s="111"/>
      <c r="AN46" s="111"/>
      <c r="AO46" s="115"/>
      <c r="AP46" s="115"/>
      <c r="AQ46" s="131"/>
      <c r="AR46" s="131"/>
      <c r="AS46" s="131"/>
      <c r="AT46" s="111"/>
      <c r="AU46" s="111"/>
      <c r="AV46" s="131"/>
      <c r="AW46" s="115"/>
      <c r="AX46" s="115"/>
      <c r="AY46" s="115"/>
      <c r="AZ46" s="115"/>
      <c r="BA46" s="111"/>
      <c r="BB46" s="111"/>
      <c r="BC46" s="115"/>
      <c r="BD46" s="115"/>
      <c r="BE46" s="115"/>
      <c r="BF46" s="115"/>
      <c r="BG46" s="115"/>
      <c r="BH46" s="111"/>
      <c r="BI46" s="111"/>
      <c r="BJ46" s="115"/>
      <c r="BK46" s="115"/>
      <c r="BL46" s="115"/>
      <c r="BM46" s="115"/>
      <c r="BN46" s="98"/>
      <c r="BO46" s="99"/>
      <c r="BP46" s="99"/>
      <c r="BQ46" s="98"/>
      <c r="BR46" s="98"/>
      <c r="BS46" s="98"/>
      <c r="BT46" s="98"/>
      <c r="BU46" s="98"/>
      <c r="BV46" s="99"/>
      <c r="BW46" s="99"/>
      <c r="BX46" s="98"/>
      <c r="BY46" s="98"/>
      <c r="BZ46" s="98"/>
      <c r="CA46" s="98"/>
      <c r="CB46" s="98"/>
      <c r="CC46" s="99"/>
      <c r="CD46" s="99"/>
      <c r="CE46" s="98"/>
      <c r="CF46" s="98"/>
      <c r="CG46" s="98"/>
      <c r="CH46" s="98"/>
      <c r="CI46" s="98"/>
      <c r="CJ46" s="99"/>
      <c r="CK46" s="99"/>
      <c r="CL46" s="98"/>
      <c r="CM46" s="98"/>
      <c r="CN46" s="98"/>
      <c r="CO46" s="98"/>
      <c r="CP46" s="98"/>
      <c r="CQ46" s="99"/>
      <c r="CR46" s="99"/>
      <c r="CS46" s="98"/>
      <c r="CT46" s="98"/>
      <c r="CU46" s="98"/>
      <c r="CV46" s="98"/>
    </row>
    <row r="47" spans="1:100" s="2" customFormat="1" ht="24.95" customHeight="1" x14ac:dyDescent="0.5">
      <c r="A47" s="58"/>
      <c r="B47" s="106"/>
      <c r="C47" s="107"/>
      <c r="D47" s="107"/>
      <c r="E47" s="103"/>
      <c r="F47" s="104"/>
      <c r="G47" s="104"/>
      <c r="H47" s="108"/>
      <c r="I47" s="109"/>
      <c r="J47" s="110"/>
      <c r="K47" s="111"/>
      <c r="L47" s="111"/>
      <c r="M47" s="110"/>
      <c r="N47" s="110"/>
      <c r="O47" s="110"/>
      <c r="P47" s="110"/>
      <c r="Q47" s="110"/>
      <c r="R47" s="111"/>
      <c r="S47" s="111"/>
      <c r="T47" s="110"/>
      <c r="U47" s="110"/>
      <c r="V47" s="110"/>
      <c r="W47" s="110"/>
      <c r="X47" s="110"/>
      <c r="Y47" s="111"/>
      <c r="Z47" s="111"/>
      <c r="AA47" s="110"/>
      <c r="AB47" s="110"/>
      <c r="AC47" s="110"/>
      <c r="AD47" s="110"/>
      <c r="AE47" s="110"/>
      <c r="AF47" s="111"/>
      <c r="AG47" s="111"/>
      <c r="AH47" s="110"/>
      <c r="AI47" s="110"/>
      <c r="AJ47" s="110"/>
      <c r="AK47" s="110"/>
      <c r="AL47" s="110"/>
      <c r="AM47" s="111"/>
      <c r="AN47" s="111"/>
      <c r="AO47" s="110"/>
      <c r="AP47" s="110"/>
      <c r="AQ47" s="110"/>
      <c r="AR47" s="110"/>
      <c r="AS47" s="110"/>
      <c r="AT47" s="111"/>
      <c r="AU47" s="111"/>
      <c r="AV47" s="110"/>
      <c r="AW47" s="131"/>
      <c r="AX47" s="131"/>
      <c r="AY47" s="131"/>
      <c r="AZ47" s="131"/>
      <c r="BA47" s="111"/>
      <c r="BB47" s="111"/>
      <c r="BC47" s="131"/>
      <c r="BD47" s="110"/>
      <c r="BE47" s="110"/>
      <c r="BF47" s="110"/>
      <c r="BG47" s="110"/>
      <c r="BH47" s="111"/>
      <c r="BI47" s="111"/>
      <c r="BJ47" s="110"/>
      <c r="BK47" s="110"/>
      <c r="BL47" s="110"/>
      <c r="BM47" s="110"/>
      <c r="BN47" s="113"/>
      <c r="BO47" s="99"/>
      <c r="BP47" s="99"/>
      <c r="BQ47" s="113"/>
      <c r="BR47" s="113"/>
      <c r="BS47" s="113"/>
      <c r="BT47" s="113"/>
      <c r="BU47" s="113"/>
      <c r="BV47" s="99"/>
      <c r="BW47" s="99"/>
      <c r="BX47" s="113"/>
      <c r="BY47" s="113"/>
      <c r="BZ47" s="113"/>
      <c r="CA47" s="113"/>
      <c r="CB47" s="113"/>
      <c r="CC47" s="99"/>
      <c r="CD47" s="99"/>
      <c r="CE47" s="113"/>
      <c r="CF47" s="113"/>
      <c r="CG47" s="113"/>
      <c r="CH47" s="113"/>
      <c r="CI47" s="113"/>
      <c r="CJ47" s="99"/>
      <c r="CK47" s="99"/>
      <c r="CL47" s="113"/>
      <c r="CM47" s="113"/>
      <c r="CN47" s="113"/>
      <c r="CO47" s="113"/>
      <c r="CP47" s="113"/>
      <c r="CQ47" s="99"/>
      <c r="CR47" s="99"/>
      <c r="CS47" s="113"/>
      <c r="CT47" s="113"/>
      <c r="CU47" s="113"/>
      <c r="CV47" s="113"/>
    </row>
    <row r="48" spans="1:100" s="2" customFormat="1" ht="24.95" customHeight="1" x14ac:dyDescent="0.5">
      <c r="A48" s="58"/>
      <c r="B48" s="100"/>
      <c r="C48" s="102"/>
      <c r="D48" s="102"/>
      <c r="E48" s="101"/>
      <c r="F48" s="114"/>
      <c r="G48" s="114"/>
      <c r="H48" s="105"/>
      <c r="I48" s="109"/>
      <c r="J48" s="115"/>
      <c r="K48" s="111"/>
      <c r="L48" s="111"/>
      <c r="M48" s="115"/>
      <c r="N48" s="115"/>
      <c r="O48" s="115"/>
      <c r="P48" s="115"/>
      <c r="Q48" s="115"/>
      <c r="R48" s="111"/>
      <c r="S48" s="111"/>
      <c r="T48" s="115"/>
      <c r="U48" s="115"/>
      <c r="V48" s="115"/>
      <c r="W48" s="115"/>
      <c r="X48" s="115"/>
      <c r="Y48" s="111"/>
      <c r="Z48" s="111"/>
      <c r="AA48" s="115"/>
      <c r="AB48" s="115"/>
      <c r="AC48" s="115"/>
      <c r="AD48" s="115"/>
      <c r="AE48" s="115"/>
      <c r="AF48" s="111"/>
      <c r="AG48" s="111"/>
      <c r="AH48" s="115"/>
      <c r="AI48" s="115"/>
      <c r="AJ48" s="115"/>
      <c r="AK48" s="115"/>
      <c r="AL48" s="115"/>
      <c r="AM48" s="111"/>
      <c r="AN48" s="111"/>
      <c r="AO48" s="115"/>
      <c r="AP48" s="115"/>
      <c r="AQ48" s="115"/>
      <c r="AR48" s="115"/>
      <c r="AS48" s="115"/>
      <c r="AT48" s="111"/>
      <c r="AU48" s="111"/>
      <c r="AV48" s="115"/>
      <c r="AW48" s="115"/>
      <c r="AX48" s="115"/>
      <c r="AY48" s="115"/>
      <c r="AZ48" s="115"/>
      <c r="BA48" s="111"/>
      <c r="BB48" s="111"/>
      <c r="BC48" s="115"/>
      <c r="BD48" s="115"/>
      <c r="BE48" s="115"/>
      <c r="BF48" s="115"/>
      <c r="BG48" s="115"/>
      <c r="BH48" s="111"/>
      <c r="BI48" s="111"/>
      <c r="BJ48" s="115"/>
      <c r="BK48" s="115"/>
      <c r="BL48" s="115"/>
      <c r="BM48" s="115"/>
      <c r="BN48" s="98"/>
      <c r="BO48" s="99"/>
      <c r="BP48" s="99"/>
      <c r="BQ48" s="98"/>
      <c r="BR48" s="98"/>
      <c r="BS48" s="98"/>
      <c r="BT48" s="98"/>
      <c r="BU48" s="98"/>
      <c r="BV48" s="99"/>
      <c r="BW48" s="99"/>
      <c r="BX48" s="98"/>
      <c r="BY48" s="98"/>
      <c r="BZ48" s="98"/>
      <c r="CA48" s="98"/>
      <c r="CB48" s="98"/>
      <c r="CC48" s="99"/>
      <c r="CD48" s="99"/>
      <c r="CE48" s="98"/>
      <c r="CF48" s="98"/>
      <c r="CG48" s="98"/>
      <c r="CH48" s="98"/>
      <c r="CI48" s="98"/>
      <c r="CJ48" s="99"/>
      <c r="CK48" s="99"/>
      <c r="CL48" s="98"/>
      <c r="CM48" s="98"/>
      <c r="CN48" s="98"/>
      <c r="CO48" s="98"/>
      <c r="CP48" s="98"/>
      <c r="CQ48" s="99"/>
      <c r="CR48" s="99"/>
      <c r="CS48" s="98"/>
      <c r="CT48" s="98"/>
      <c r="CU48" s="98"/>
      <c r="CV48" s="98"/>
    </row>
    <row r="49" spans="1:100" s="2" customFormat="1" ht="24.95" customHeight="1" x14ac:dyDescent="0.5">
      <c r="A49" s="60"/>
      <c r="B49" s="106"/>
      <c r="C49" s="107"/>
      <c r="D49" s="107"/>
      <c r="E49" s="107"/>
      <c r="F49" s="104"/>
      <c r="G49" s="104"/>
      <c r="H49" s="108"/>
      <c r="I49" s="109"/>
      <c r="J49" s="132"/>
      <c r="K49" s="133"/>
      <c r="L49" s="133"/>
      <c r="M49" s="132"/>
      <c r="N49" s="132"/>
      <c r="O49" s="132"/>
      <c r="P49" s="132"/>
      <c r="Q49" s="132"/>
      <c r="R49" s="133"/>
      <c r="S49" s="133"/>
      <c r="T49" s="132"/>
      <c r="U49" s="132"/>
      <c r="V49" s="132"/>
      <c r="W49" s="132"/>
      <c r="X49" s="132"/>
      <c r="Y49" s="133"/>
      <c r="Z49" s="133"/>
      <c r="AA49" s="132"/>
      <c r="AB49" s="132"/>
      <c r="AC49" s="132"/>
      <c r="AD49" s="132"/>
      <c r="AE49" s="132"/>
      <c r="AF49" s="133"/>
      <c r="AG49" s="133"/>
      <c r="AH49" s="132"/>
      <c r="AI49" s="132"/>
      <c r="AJ49" s="132"/>
      <c r="AK49" s="132"/>
      <c r="AL49" s="132"/>
      <c r="AM49" s="133"/>
      <c r="AN49" s="133"/>
      <c r="AO49" s="132"/>
      <c r="AP49" s="132"/>
      <c r="AQ49" s="132"/>
      <c r="AR49" s="132"/>
      <c r="AS49" s="132"/>
      <c r="AT49" s="133"/>
      <c r="AU49" s="133"/>
      <c r="AV49" s="132"/>
      <c r="AW49" s="132"/>
      <c r="AX49" s="132"/>
      <c r="AY49" s="132"/>
      <c r="AZ49" s="132"/>
      <c r="BA49" s="133"/>
      <c r="BB49" s="133"/>
      <c r="BC49" s="132"/>
      <c r="BD49" s="132"/>
      <c r="BE49" s="132"/>
      <c r="BF49" s="132"/>
      <c r="BG49" s="132"/>
      <c r="BH49" s="133"/>
      <c r="BI49" s="133"/>
      <c r="BJ49" s="132"/>
      <c r="BK49" s="132"/>
      <c r="BL49" s="132"/>
      <c r="BM49" s="132"/>
      <c r="BN49" s="113"/>
      <c r="BO49" s="99"/>
      <c r="BP49" s="99"/>
      <c r="BQ49" s="113"/>
      <c r="BR49" s="113"/>
      <c r="BS49" s="113"/>
      <c r="BT49" s="113"/>
      <c r="BU49" s="113"/>
      <c r="BV49" s="99"/>
      <c r="BW49" s="99"/>
      <c r="BX49" s="113"/>
      <c r="BY49" s="113"/>
      <c r="BZ49" s="113"/>
      <c r="CA49" s="113"/>
      <c r="CB49" s="113"/>
      <c r="CC49" s="99"/>
      <c r="CD49" s="99"/>
      <c r="CE49" s="113"/>
      <c r="CF49" s="113"/>
      <c r="CG49" s="113"/>
      <c r="CH49" s="113"/>
      <c r="CI49" s="113"/>
      <c r="CJ49" s="99"/>
      <c r="CK49" s="99"/>
      <c r="CL49" s="113"/>
      <c r="CM49" s="113"/>
      <c r="CN49" s="113"/>
      <c r="CO49" s="113"/>
      <c r="CP49" s="113"/>
      <c r="CQ49" s="99"/>
      <c r="CR49" s="99"/>
      <c r="CS49" s="113"/>
      <c r="CT49" s="113"/>
      <c r="CU49" s="113"/>
      <c r="CV49" s="113"/>
    </row>
    <row r="50" spans="1:100" ht="24.95" customHeight="1" x14ac:dyDescent="0.5">
      <c r="B50" s="100"/>
      <c r="C50" s="102"/>
      <c r="D50" s="102"/>
      <c r="E50" s="102"/>
      <c r="F50" s="134"/>
      <c r="G50" s="134"/>
      <c r="H50" s="102"/>
      <c r="I50" s="135"/>
      <c r="J50" s="98"/>
      <c r="K50" s="99"/>
      <c r="L50" s="99"/>
      <c r="M50" s="98"/>
      <c r="N50" s="98"/>
      <c r="O50" s="98"/>
      <c r="P50" s="98"/>
      <c r="Q50" s="98"/>
      <c r="R50" s="99"/>
      <c r="S50" s="99"/>
      <c r="T50" s="98"/>
      <c r="U50" s="98"/>
      <c r="V50" s="98"/>
      <c r="W50" s="98"/>
      <c r="X50" s="98"/>
      <c r="Y50" s="99"/>
      <c r="Z50" s="99"/>
      <c r="AA50" s="98"/>
      <c r="AB50" s="98"/>
      <c r="AC50" s="98"/>
      <c r="AD50" s="98"/>
      <c r="AE50" s="98"/>
      <c r="AF50" s="99"/>
      <c r="AG50" s="99"/>
      <c r="AH50" s="98"/>
      <c r="AI50" s="98"/>
      <c r="AJ50" s="98"/>
      <c r="AK50" s="98"/>
      <c r="AL50" s="98"/>
      <c r="AM50" s="99"/>
      <c r="AN50" s="99"/>
      <c r="AO50" s="98"/>
      <c r="AP50" s="98"/>
      <c r="AQ50" s="98"/>
      <c r="AR50" s="98"/>
      <c r="AS50" s="98"/>
      <c r="AT50" s="99"/>
      <c r="AU50" s="99"/>
      <c r="AV50" s="98"/>
      <c r="AW50" s="136"/>
      <c r="AX50" s="136"/>
      <c r="AY50" s="136"/>
      <c r="AZ50" s="98"/>
      <c r="BA50" s="99"/>
      <c r="BB50" s="99"/>
      <c r="BC50" s="98"/>
      <c r="BD50" s="98"/>
      <c r="BE50" s="98"/>
      <c r="BF50" s="98"/>
      <c r="BG50" s="98"/>
      <c r="BH50" s="99"/>
      <c r="BI50" s="99"/>
      <c r="BJ50" s="98"/>
      <c r="BK50" s="98"/>
      <c r="BL50" s="98"/>
      <c r="BM50" s="98"/>
      <c r="BN50" s="98"/>
      <c r="BO50" s="99"/>
      <c r="BP50" s="99"/>
      <c r="BQ50" s="98"/>
      <c r="BR50" s="98"/>
      <c r="BS50" s="98"/>
      <c r="BT50" s="98"/>
      <c r="BU50" s="98"/>
      <c r="BV50" s="99"/>
      <c r="BW50" s="99"/>
      <c r="BX50" s="98"/>
      <c r="BY50" s="98"/>
      <c r="BZ50" s="98"/>
      <c r="CA50" s="98"/>
      <c r="CB50" s="98"/>
      <c r="CC50" s="99"/>
      <c r="CD50" s="99"/>
      <c r="CE50" s="98"/>
      <c r="CF50" s="98"/>
      <c r="CG50" s="98"/>
      <c r="CH50" s="98"/>
      <c r="CI50" s="98"/>
      <c r="CJ50" s="99"/>
      <c r="CK50" s="99"/>
      <c r="CL50" s="98"/>
      <c r="CM50" s="98"/>
      <c r="CN50" s="98"/>
      <c r="CO50" s="98"/>
      <c r="CP50" s="98"/>
      <c r="CQ50" s="99"/>
      <c r="CR50" s="99"/>
      <c r="CS50" s="98"/>
      <c r="CT50" s="98"/>
      <c r="CU50" s="98"/>
      <c r="CV50" s="98"/>
    </row>
    <row r="51" spans="1:100" ht="24.95" customHeight="1" x14ac:dyDescent="0.5">
      <c r="B51" s="106"/>
      <c r="C51" s="107"/>
      <c r="D51" s="137"/>
      <c r="E51" s="107"/>
      <c r="F51" s="138"/>
      <c r="G51" s="138"/>
      <c r="H51" s="107"/>
      <c r="J51" s="113"/>
      <c r="K51" s="99"/>
      <c r="L51" s="99"/>
      <c r="M51" s="113"/>
      <c r="N51" s="113"/>
      <c r="O51" s="113"/>
      <c r="P51" s="113"/>
      <c r="Q51" s="113"/>
      <c r="R51" s="99"/>
      <c r="S51" s="99"/>
      <c r="T51" s="113"/>
      <c r="U51" s="113"/>
      <c r="V51" s="113"/>
      <c r="W51" s="113"/>
      <c r="X51" s="113"/>
      <c r="Y51" s="99"/>
      <c r="Z51" s="99"/>
      <c r="AA51" s="113"/>
      <c r="AB51" s="113"/>
      <c r="AC51" s="113"/>
      <c r="AD51" s="113"/>
      <c r="AE51" s="113"/>
      <c r="AF51" s="99"/>
      <c r="AG51" s="99"/>
      <c r="AH51" s="113"/>
      <c r="AI51" s="113"/>
      <c r="AJ51" s="113"/>
      <c r="AK51" s="113"/>
      <c r="AL51" s="113"/>
      <c r="AM51" s="99"/>
      <c r="AN51" s="99"/>
      <c r="AO51" s="113"/>
      <c r="AP51" s="113"/>
      <c r="AQ51" s="113"/>
      <c r="AR51" s="113"/>
      <c r="AS51" s="113"/>
      <c r="AT51" s="99"/>
      <c r="AU51" s="99"/>
      <c r="AV51" s="113"/>
      <c r="AW51" s="113"/>
      <c r="AX51" s="113"/>
      <c r="AY51" s="113"/>
      <c r="AZ51" s="113"/>
      <c r="BA51" s="99"/>
      <c r="BB51" s="99"/>
      <c r="BC51" s="113"/>
      <c r="BD51" s="113"/>
      <c r="BE51" s="113"/>
      <c r="BF51" s="113"/>
      <c r="BG51" s="113"/>
      <c r="BH51" s="99"/>
      <c r="BI51" s="99"/>
      <c r="BJ51" s="113"/>
      <c r="BK51" s="113"/>
      <c r="BL51" s="113"/>
      <c r="BM51" s="113"/>
      <c r="BN51" s="113"/>
      <c r="BO51" s="99"/>
      <c r="BP51" s="99"/>
      <c r="BQ51" s="113"/>
      <c r="BR51" s="113"/>
      <c r="BS51" s="113"/>
      <c r="BT51" s="113"/>
      <c r="BU51" s="113"/>
      <c r="BV51" s="99"/>
      <c r="BW51" s="99"/>
      <c r="BX51" s="113"/>
      <c r="BY51" s="113"/>
      <c r="BZ51" s="113"/>
      <c r="CA51" s="113"/>
      <c r="CB51" s="113"/>
      <c r="CC51" s="99"/>
      <c r="CD51" s="99"/>
      <c r="CE51" s="113"/>
      <c r="CF51" s="113"/>
      <c r="CG51" s="113"/>
      <c r="CH51" s="113"/>
      <c r="CI51" s="113"/>
      <c r="CJ51" s="99"/>
      <c r="CK51" s="99"/>
      <c r="CL51" s="113"/>
      <c r="CM51" s="113"/>
      <c r="CN51" s="113"/>
      <c r="CO51" s="113"/>
      <c r="CP51" s="113"/>
      <c r="CQ51" s="99"/>
      <c r="CR51" s="99"/>
      <c r="CS51" s="113"/>
      <c r="CT51" s="113"/>
      <c r="CU51" s="113"/>
      <c r="CV51" s="113"/>
    </row>
    <row r="52" spans="1:100" ht="24.95" customHeight="1" x14ac:dyDescent="0.5">
      <c r="B52" s="100"/>
      <c r="C52" s="102"/>
      <c r="D52" s="102"/>
      <c r="E52" s="102"/>
      <c r="F52" s="134"/>
      <c r="G52" s="134"/>
      <c r="H52" s="102"/>
      <c r="J52" s="98"/>
      <c r="K52" s="99"/>
      <c r="L52" s="99"/>
      <c r="M52" s="98"/>
      <c r="N52" s="98"/>
      <c r="O52" s="98"/>
      <c r="P52" s="98"/>
      <c r="Q52" s="98"/>
      <c r="R52" s="99"/>
      <c r="S52" s="99"/>
      <c r="T52" s="98"/>
      <c r="U52" s="98"/>
      <c r="V52" s="98"/>
      <c r="W52" s="98"/>
      <c r="X52" s="98"/>
      <c r="Y52" s="99"/>
      <c r="Z52" s="99"/>
      <c r="AA52" s="98"/>
      <c r="AB52" s="98"/>
      <c r="AC52" s="98"/>
      <c r="AD52" s="98"/>
      <c r="AE52" s="98"/>
      <c r="AF52" s="99"/>
      <c r="AG52" s="99"/>
      <c r="AH52" s="98"/>
      <c r="AI52" s="98"/>
      <c r="AJ52" s="98"/>
      <c r="AK52" s="98"/>
      <c r="AL52" s="98"/>
      <c r="AM52" s="99"/>
      <c r="AN52" s="99"/>
      <c r="AO52" s="98"/>
      <c r="AP52" s="98"/>
      <c r="AQ52" s="98"/>
      <c r="AR52" s="98"/>
      <c r="AS52" s="98"/>
      <c r="AT52" s="99"/>
      <c r="AU52" s="99"/>
      <c r="AV52" s="98"/>
      <c r="AW52" s="98"/>
      <c r="AX52" s="98"/>
      <c r="AY52" s="98"/>
      <c r="AZ52" s="98"/>
      <c r="BA52" s="99"/>
      <c r="BB52" s="99"/>
      <c r="BC52" s="98"/>
      <c r="BD52" s="98"/>
      <c r="BE52" s="98"/>
      <c r="BF52" s="98"/>
      <c r="BG52" s="98"/>
      <c r="BH52" s="99"/>
      <c r="BI52" s="99"/>
      <c r="BJ52" s="98"/>
      <c r="BK52" s="98"/>
      <c r="BL52" s="98"/>
      <c r="BM52" s="98"/>
      <c r="BN52" s="98"/>
      <c r="BO52" s="99"/>
      <c r="BP52" s="99"/>
      <c r="BQ52" s="98"/>
      <c r="BR52" s="98"/>
      <c r="BS52" s="98"/>
      <c r="BT52" s="98"/>
      <c r="BU52" s="98"/>
      <c r="BV52" s="99"/>
      <c r="BW52" s="99"/>
      <c r="BX52" s="98"/>
      <c r="BY52" s="98"/>
      <c r="BZ52" s="98"/>
      <c r="CA52" s="98"/>
      <c r="CB52" s="98"/>
      <c r="CC52" s="99"/>
      <c r="CD52" s="99"/>
      <c r="CE52" s="98"/>
      <c r="CF52" s="98"/>
      <c r="CG52" s="98"/>
      <c r="CH52" s="98"/>
      <c r="CI52" s="98"/>
      <c r="CJ52" s="99"/>
      <c r="CK52" s="99"/>
      <c r="CL52" s="98"/>
      <c r="CM52" s="98"/>
      <c r="CN52" s="98"/>
      <c r="CO52" s="98"/>
      <c r="CP52" s="98"/>
      <c r="CQ52" s="99"/>
      <c r="CR52" s="99"/>
      <c r="CS52" s="98"/>
      <c r="CT52" s="98"/>
      <c r="CU52" s="98"/>
      <c r="CV52" s="98"/>
    </row>
    <row r="53" spans="1:100" ht="24.95" customHeight="1" x14ac:dyDescent="0.5">
      <c r="B53" s="139"/>
      <c r="C53" s="123"/>
      <c r="D53" s="123"/>
      <c r="E53" s="123"/>
      <c r="F53" s="140"/>
      <c r="G53" s="140"/>
      <c r="H53" s="141"/>
      <c r="J53" s="113"/>
      <c r="K53" s="99"/>
      <c r="L53" s="99"/>
      <c r="M53" s="113"/>
      <c r="N53" s="113"/>
      <c r="O53" s="113"/>
      <c r="P53" s="113"/>
      <c r="Q53" s="113"/>
      <c r="R53" s="99"/>
      <c r="S53" s="99"/>
      <c r="T53" s="113"/>
      <c r="U53" s="113"/>
      <c r="V53" s="113"/>
      <c r="W53" s="113"/>
      <c r="X53" s="113"/>
      <c r="Y53" s="99"/>
      <c r="Z53" s="99"/>
      <c r="AA53" s="113"/>
      <c r="AB53" s="113"/>
      <c r="AC53" s="113"/>
      <c r="AD53" s="113"/>
      <c r="AE53" s="113"/>
      <c r="AF53" s="99"/>
      <c r="AG53" s="99"/>
      <c r="AH53" s="113"/>
      <c r="AI53" s="113"/>
      <c r="AJ53" s="113"/>
      <c r="AK53" s="113"/>
      <c r="AL53" s="113"/>
      <c r="AM53" s="99"/>
      <c r="AN53" s="99"/>
      <c r="AO53" s="113"/>
      <c r="AP53" s="113"/>
      <c r="AQ53" s="113"/>
      <c r="AR53" s="113"/>
      <c r="AS53" s="113"/>
      <c r="AT53" s="99"/>
      <c r="AU53" s="99"/>
      <c r="AV53" s="113"/>
      <c r="AW53" s="113"/>
      <c r="AX53" s="113"/>
      <c r="AY53" s="113"/>
      <c r="AZ53" s="113"/>
      <c r="BA53" s="99"/>
      <c r="BB53" s="99"/>
      <c r="BC53" s="113"/>
      <c r="BD53" s="113"/>
      <c r="BE53" s="113"/>
      <c r="BF53" s="113"/>
      <c r="BG53" s="113"/>
      <c r="BH53" s="99"/>
      <c r="BI53" s="99"/>
      <c r="BJ53" s="113"/>
      <c r="BK53" s="113"/>
      <c r="BL53" s="113"/>
      <c r="BM53" s="113"/>
      <c r="BN53" s="113"/>
      <c r="BO53" s="99"/>
      <c r="BP53" s="99"/>
      <c r="BQ53" s="113"/>
      <c r="BR53" s="113"/>
      <c r="BS53" s="113"/>
      <c r="BT53" s="113"/>
      <c r="BU53" s="113"/>
      <c r="BV53" s="99"/>
      <c r="BW53" s="99"/>
      <c r="BX53" s="113"/>
      <c r="BY53" s="113"/>
      <c r="BZ53" s="113"/>
      <c r="CA53" s="113"/>
      <c r="CB53" s="113"/>
      <c r="CC53" s="99"/>
      <c r="CD53" s="99"/>
      <c r="CE53" s="113"/>
      <c r="CF53" s="113"/>
      <c r="CG53" s="113"/>
      <c r="CH53" s="113"/>
      <c r="CI53" s="113"/>
      <c r="CJ53" s="99"/>
      <c r="CK53" s="99"/>
      <c r="CL53" s="113"/>
      <c r="CM53" s="113"/>
      <c r="CN53" s="113"/>
      <c r="CO53" s="113"/>
      <c r="CP53" s="113"/>
      <c r="CQ53" s="99"/>
      <c r="CR53" s="99"/>
      <c r="CS53" s="113"/>
      <c r="CT53" s="113"/>
      <c r="CU53" s="113"/>
      <c r="CV53" s="113"/>
    </row>
    <row r="54" spans="1:100" ht="24.95" customHeight="1" x14ac:dyDescent="0.5">
      <c r="B54" s="106"/>
      <c r="C54" s="107"/>
      <c r="D54" s="107"/>
      <c r="E54" s="107"/>
      <c r="F54" s="138"/>
      <c r="G54" s="138"/>
      <c r="H54" s="107"/>
      <c r="J54" s="98"/>
      <c r="K54" s="99"/>
      <c r="L54" s="99"/>
      <c r="M54" s="98"/>
      <c r="N54" s="98"/>
      <c r="O54" s="98"/>
      <c r="P54" s="98"/>
      <c r="Q54" s="98"/>
      <c r="R54" s="99"/>
      <c r="S54" s="99"/>
      <c r="T54" s="98"/>
      <c r="U54" s="98"/>
      <c r="V54" s="98"/>
      <c r="W54" s="98"/>
      <c r="X54" s="98"/>
      <c r="Y54" s="99"/>
      <c r="Z54" s="99"/>
      <c r="AA54" s="98"/>
      <c r="AB54" s="98"/>
      <c r="AC54" s="98"/>
      <c r="AD54" s="98"/>
      <c r="AE54" s="98"/>
      <c r="AF54" s="99"/>
      <c r="AG54" s="99"/>
      <c r="AH54" s="98"/>
      <c r="AI54" s="98"/>
      <c r="AJ54" s="98"/>
      <c r="AK54" s="98"/>
      <c r="AL54" s="98"/>
      <c r="AM54" s="99"/>
      <c r="AN54" s="99"/>
      <c r="AO54" s="98"/>
      <c r="AP54" s="98"/>
      <c r="AQ54" s="98"/>
      <c r="AR54" s="98"/>
      <c r="AS54" s="98"/>
      <c r="AT54" s="99"/>
      <c r="AU54" s="99"/>
      <c r="AV54" s="98"/>
      <c r="AW54" s="98"/>
      <c r="AX54" s="98"/>
      <c r="AY54" s="98"/>
      <c r="AZ54" s="98"/>
      <c r="BA54" s="99"/>
      <c r="BB54" s="99"/>
      <c r="BC54" s="98"/>
      <c r="BD54" s="98"/>
      <c r="BE54" s="98"/>
      <c r="BF54" s="98"/>
      <c r="BG54" s="98"/>
      <c r="BH54" s="99"/>
      <c r="BI54" s="99"/>
      <c r="BJ54" s="98"/>
      <c r="BK54" s="98"/>
      <c r="BL54" s="98"/>
      <c r="BM54" s="98"/>
      <c r="BN54" s="98"/>
      <c r="BO54" s="99"/>
      <c r="BP54" s="99"/>
      <c r="BQ54" s="98"/>
      <c r="BR54" s="98"/>
      <c r="BS54" s="98"/>
      <c r="BT54" s="98"/>
      <c r="BU54" s="98"/>
      <c r="BV54" s="99"/>
      <c r="BW54" s="99"/>
      <c r="BX54" s="98"/>
      <c r="BY54" s="98"/>
      <c r="BZ54" s="98"/>
      <c r="CA54" s="98"/>
      <c r="CB54" s="98"/>
      <c r="CC54" s="99"/>
      <c r="CD54" s="99"/>
      <c r="CE54" s="98"/>
      <c r="CF54" s="98"/>
      <c r="CG54" s="98"/>
      <c r="CH54" s="98"/>
      <c r="CI54" s="98"/>
      <c r="CJ54" s="99"/>
      <c r="CK54" s="99"/>
      <c r="CL54" s="98"/>
      <c r="CM54" s="98"/>
      <c r="CN54" s="98"/>
      <c r="CO54" s="98"/>
      <c r="CP54" s="98"/>
      <c r="CQ54" s="99"/>
      <c r="CR54" s="99"/>
      <c r="CS54" s="98"/>
      <c r="CT54" s="98"/>
      <c r="CU54" s="98"/>
      <c r="CV54" s="98"/>
    </row>
    <row r="55" spans="1:100" ht="24.95" customHeight="1" x14ac:dyDescent="0.5">
      <c r="B55" s="139"/>
      <c r="C55" s="123"/>
      <c r="D55" s="123"/>
      <c r="E55" s="123"/>
      <c r="F55" s="140"/>
      <c r="G55" s="140"/>
      <c r="H55" s="141"/>
      <c r="J55" s="98"/>
      <c r="K55" s="99"/>
      <c r="L55" s="99"/>
      <c r="M55" s="98"/>
      <c r="N55" s="98"/>
      <c r="O55" s="98"/>
      <c r="P55" s="98"/>
      <c r="Q55" s="98"/>
      <c r="R55" s="99"/>
      <c r="S55" s="99"/>
      <c r="T55" s="98"/>
      <c r="U55" s="98"/>
      <c r="V55" s="98"/>
      <c r="W55" s="98"/>
      <c r="X55" s="98"/>
      <c r="Y55" s="99"/>
      <c r="Z55" s="99"/>
      <c r="AA55" s="98"/>
      <c r="AB55" s="98"/>
      <c r="AC55" s="98"/>
      <c r="AD55" s="98"/>
      <c r="AE55" s="98"/>
      <c r="AF55" s="99"/>
      <c r="AG55" s="99"/>
      <c r="AH55" s="98"/>
      <c r="AI55" s="98"/>
      <c r="AJ55" s="98"/>
      <c r="AK55" s="98"/>
      <c r="AL55" s="98"/>
      <c r="AM55" s="99"/>
      <c r="AN55" s="99"/>
      <c r="AO55" s="98"/>
      <c r="AP55" s="98"/>
      <c r="AQ55" s="98"/>
      <c r="AR55" s="98"/>
      <c r="AS55" s="98"/>
      <c r="AT55" s="99"/>
      <c r="AU55" s="99"/>
      <c r="AV55" s="98"/>
      <c r="AW55" s="98"/>
      <c r="AX55" s="98"/>
      <c r="AY55" s="98"/>
      <c r="AZ55" s="98"/>
      <c r="BA55" s="99"/>
      <c r="BB55" s="99"/>
      <c r="BC55" s="98"/>
      <c r="BD55" s="98"/>
      <c r="BE55" s="98"/>
      <c r="BF55" s="98"/>
      <c r="BG55" s="98"/>
      <c r="BH55" s="99"/>
      <c r="BI55" s="99"/>
      <c r="BJ55" s="98"/>
      <c r="BK55" s="98"/>
      <c r="BL55" s="98"/>
      <c r="BM55" s="98"/>
      <c r="BN55" s="98"/>
      <c r="BO55" s="99"/>
      <c r="BP55" s="99"/>
      <c r="BQ55" s="98"/>
      <c r="BR55" s="98"/>
      <c r="BS55" s="98"/>
      <c r="BT55" s="98"/>
      <c r="BU55" s="98"/>
      <c r="BV55" s="99"/>
      <c r="BW55" s="99"/>
      <c r="BX55" s="98"/>
      <c r="BY55" s="98"/>
      <c r="BZ55" s="98"/>
      <c r="CA55" s="98"/>
      <c r="CB55" s="98"/>
      <c r="CC55" s="99"/>
      <c r="CD55" s="99"/>
      <c r="CE55" s="98"/>
      <c r="CF55" s="98"/>
      <c r="CG55" s="98"/>
      <c r="CH55" s="98"/>
      <c r="CI55" s="98"/>
      <c r="CJ55" s="99"/>
      <c r="CK55" s="99"/>
      <c r="CL55" s="98"/>
      <c r="CM55" s="98"/>
      <c r="CN55" s="98"/>
      <c r="CO55" s="98"/>
      <c r="CP55" s="98"/>
      <c r="CQ55" s="99"/>
      <c r="CR55" s="99"/>
      <c r="CS55" s="98"/>
      <c r="CT55" s="98"/>
      <c r="CU55" s="98"/>
      <c r="CV55" s="98"/>
    </row>
    <row r="56" spans="1:100" ht="24.95" customHeight="1" x14ac:dyDescent="0.5">
      <c r="B56" s="122"/>
      <c r="C56" s="123"/>
      <c r="D56" s="102"/>
      <c r="E56" s="123"/>
      <c r="F56" s="140"/>
      <c r="G56" s="140"/>
      <c r="H56" s="141"/>
      <c r="J56" s="98"/>
      <c r="K56" s="99"/>
      <c r="L56" s="99"/>
      <c r="M56" s="98"/>
      <c r="N56" s="98"/>
      <c r="O56" s="98"/>
      <c r="P56" s="98"/>
      <c r="Q56" s="98"/>
      <c r="R56" s="99"/>
      <c r="S56" s="99"/>
      <c r="T56" s="98"/>
      <c r="U56" s="98"/>
      <c r="V56" s="98"/>
      <c r="W56" s="98"/>
      <c r="X56" s="98"/>
      <c r="Y56" s="99"/>
      <c r="Z56" s="99"/>
      <c r="AA56" s="98"/>
      <c r="AB56" s="98"/>
      <c r="AC56" s="98"/>
      <c r="AD56" s="98"/>
      <c r="AE56" s="98"/>
      <c r="AF56" s="99"/>
      <c r="AG56" s="99"/>
      <c r="AH56" s="98"/>
      <c r="AI56" s="98"/>
      <c r="AJ56" s="98"/>
      <c r="AK56" s="98"/>
      <c r="AL56" s="98"/>
      <c r="AM56" s="99"/>
      <c r="AN56" s="99"/>
      <c r="AO56" s="98"/>
      <c r="AP56" s="98"/>
      <c r="AQ56" s="98"/>
      <c r="AR56" s="98"/>
      <c r="AS56" s="98"/>
      <c r="AT56" s="99"/>
      <c r="AU56" s="99"/>
      <c r="AV56" s="98"/>
      <c r="AW56" s="98"/>
      <c r="AX56" s="98"/>
      <c r="AY56" s="98"/>
      <c r="AZ56" s="98"/>
      <c r="BA56" s="99"/>
      <c r="BB56" s="99"/>
      <c r="BC56" s="98"/>
      <c r="BD56" s="98"/>
      <c r="BE56" s="98"/>
      <c r="BF56" s="98"/>
      <c r="BG56" s="98"/>
      <c r="BH56" s="99"/>
      <c r="BI56" s="99"/>
      <c r="BJ56" s="98"/>
      <c r="BK56" s="98"/>
      <c r="BL56" s="98"/>
      <c r="BM56" s="98"/>
      <c r="BN56" s="98"/>
      <c r="BO56" s="99"/>
      <c r="BP56" s="99"/>
      <c r="BQ56" s="98"/>
      <c r="BR56" s="98"/>
      <c r="BS56" s="98"/>
      <c r="BT56" s="98"/>
      <c r="BU56" s="98"/>
      <c r="BV56" s="99"/>
      <c r="BW56" s="99"/>
      <c r="BX56" s="98"/>
      <c r="BY56" s="98"/>
      <c r="BZ56" s="98"/>
      <c r="CA56" s="98"/>
      <c r="CB56" s="98"/>
      <c r="CC56" s="99"/>
      <c r="CD56" s="99"/>
      <c r="CE56" s="98"/>
      <c r="CF56" s="98"/>
      <c r="CG56" s="98"/>
      <c r="CH56" s="98"/>
      <c r="CI56" s="98"/>
      <c r="CJ56" s="99"/>
      <c r="CK56" s="99"/>
      <c r="CL56" s="98"/>
      <c r="CM56" s="98"/>
      <c r="CN56" s="98"/>
      <c r="CO56" s="98"/>
      <c r="CP56" s="98"/>
      <c r="CQ56" s="99"/>
      <c r="CR56" s="99"/>
      <c r="CS56" s="98"/>
      <c r="CT56" s="98"/>
      <c r="CU56" s="98"/>
      <c r="CV56" s="98"/>
    </row>
    <row r="57" spans="1:100" ht="24.95" customHeight="1" x14ac:dyDescent="0.5">
      <c r="B57" s="122"/>
      <c r="C57" s="123"/>
      <c r="D57" s="123"/>
      <c r="E57" s="123"/>
      <c r="F57" s="140"/>
      <c r="G57" s="140"/>
      <c r="H57" s="141"/>
      <c r="J57" s="98"/>
      <c r="K57" s="99"/>
      <c r="L57" s="99"/>
      <c r="M57" s="98"/>
      <c r="N57" s="98"/>
      <c r="O57" s="98"/>
      <c r="P57" s="98"/>
      <c r="Q57" s="98"/>
      <c r="R57" s="99"/>
      <c r="S57" s="99"/>
      <c r="T57" s="98"/>
      <c r="U57" s="98"/>
      <c r="V57" s="98"/>
      <c r="W57" s="98"/>
      <c r="X57" s="98"/>
      <c r="Y57" s="99"/>
      <c r="Z57" s="99"/>
      <c r="AA57" s="98"/>
      <c r="AB57" s="98"/>
      <c r="AC57" s="98"/>
      <c r="AD57" s="98"/>
      <c r="AE57" s="98"/>
      <c r="AF57" s="99"/>
      <c r="AG57" s="99"/>
      <c r="AH57" s="98"/>
      <c r="AI57" s="98"/>
      <c r="AJ57" s="98"/>
      <c r="AK57" s="98"/>
      <c r="AL57" s="98"/>
      <c r="AM57" s="99"/>
      <c r="AN57" s="99"/>
      <c r="AO57" s="98"/>
      <c r="AP57" s="98"/>
      <c r="AQ57" s="98"/>
      <c r="AR57" s="98"/>
      <c r="AS57" s="98"/>
      <c r="AT57" s="99"/>
      <c r="AU57" s="99"/>
      <c r="AV57" s="98"/>
      <c r="AW57" s="98"/>
      <c r="AX57" s="98"/>
      <c r="AY57" s="98"/>
      <c r="AZ57" s="98"/>
      <c r="BA57" s="99"/>
      <c r="BB57" s="99"/>
      <c r="BC57" s="98"/>
      <c r="BD57" s="98"/>
      <c r="BE57" s="98"/>
      <c r="BF57" s="98"/>
      <c r="BG57" s="98"/>
      <c r="BH57" s="99"/>
      <c r="BI57" s="99"/>
      <c r="BJ57" s="98"/>
      <c r="BK57" s="98"/>
      <c r="BL57" s="98"/>
      <c r="BM57" s="98"/>
      <c r="BN57" s="98"/>
      <c r="BO57" s="99"/>
      <c r="BP57" s="99"/>
      <c r="BQ57" s="98"/>
      <c r="BR57" s="98"/>
      <c r="BS57" s="98"/>
      <c r="BT57" s="98"/>
      <c r="BU57" s="98"/>
      <c r="BV57" s="99"/>
      <c r="BW57" s="99"/>
      <c r="BX57" s="98"/>
      <c r="BY57" s="98"/>
      <c r="BZ57" s="98"/>
      <c r="CA57" s="98"/>
      <c r="CB57" s="98"/>
      <c r="CC57" s="99"/>
      <c r="CD57" s="99"/>
      <c r="CE57" s="98"/>
      <c r="CF57" s="98"/>
      <c r="CG57" s="98"/>
      <c r="CH57" s="98"/>
      <c r="CI57" s="98"/>
      <c r="CJ57" s="99"/>
      <c r="CK57" s="99"/>
      <c r="CL57" s="98"/>
      <c r="CM57" s="98"/>
      <c r="CN57" s="98"/>
      <c r="CO57" s="98"/>
      <c r="CP57" s="98"/>
      <c r="CQ57" s="99"/>
      <c r="CR57" s="99"/>
      <c r="CS57" s="98"/>
      <c r="CT57" s="98"/>
      <c r="CU57" s="98"/>
      <c r="CV57" s="98"/>
    </row>
    <row r="58" spans="1:100" ht="24.95" customHeight="1" x14ac:dyDescent="0.5">
      <c r="C58" s="142"/>
      <c r="D58" s="142"/>
      <c r="E58" s="123"/>
      <c r="F58" s="140"/>
      <c r="G58" s="140"/>
      <c r="H58" s="142"/>
      <c r="J58" s="113"/>
      <c r="K58" s="99"/>
      <c r="L58" s="99"/>
      <c r="M58" s="113"/>
      <c r="N58" s="113"/>
      <c r="O58" s="113"/>
      <c r="P58" s="113"/>
      <c r="Q58" s="113"/>
      <c r="R58" s="99"/>
      <c r="S58" s="99"/>
      <c r="T58" s="113"/>
      <c r="U58" s="113"/>
      <c r="V58" s="113"/>
      <c r="W58" s="113"/>
      <c r="X58" s="113"/>
      <c r="Y58" s="99"/>
      <c r="Z58" s="99"/>
      <c r="AA58" s="113"/>
      <c r="AB58" s="113"/>
      <c r="AC58" s="113"/>
      <c r="AD58" s="113"/>
      <c r="AE58" s="113"/>
      <c r="AF58" s="99"/>
      <c r="AG58" s="99"/>
      <c r="AH58" s="113"/>
      <c r="AI58" s="113"/>
      <c r="AJ58" s="113"/>
      <c r="AK58" s="113"/>
      <c r="AL58" s="113"/>
      <c r="AM58" s="99"/>
      <c r="AN58" s="99"/>
      <c r="AO58" s="113"/>
      <c r="AP58" s="113"/>
      <c r="AQ58" s="113"/>
      <c r="AR58" s="113"/>
      <c r="AS58" s="113"/>
      <c r="AT58" s="99"/>
      <c r="AU58" s="99"/>
      <c r="AV58" s="113"/>
      <c r="AW58" s="113"/>
      <c r="AX58" s="113"/>
      <c r="AY58" s="113"/>
      <c r="AZ58" s="113"/>
      <c r="BA58" s="99"/>
      <c r="BB58" s="99"/>
      <c r="BC58" s="113"/>
      <c r="BD58" s="113"/>
      <c r="BE58" s="113"/>
      <c r="BF58" s="113"/>
      <c r="BG58" s="113"/>
      <c r="BH58" s="99"/>
      <c r="BI58" s="99"/>
      <c r="BJ58" s="113"/>
      <c r="BK58" s="113"/>
      <c r="BL58" s="113"/>
      <c r="BM58" s="113"/>
      <c r="BN58" s="113"/>
      <c r="BO58" s="99"/>
      <c r="BP58" s="99"/>
      <c r="BQ58" s="113"/>
      <c r="BR58" s="113"/>
      <c r="BS58" s="113"/>
      <c r="BT58" s="113"/>
      <c r="BU58" s="113"/>
      <c r="BV58" s="99"/>
      <c r="BW58" s="99"/>
      <c r="BX58" s="113"/>
      <c r="BY58" s="113"/>
      <c r="BZ58" s="113"/>
      <c r="CA58" s="113"/>
      <c r="CB58" s="113"/>
      <c r="CC58" s="99"/>
      <c r="CD58" s="99"/>
      <c r="CE58" s="113"/>
      <c r="CF58" s="113"/>
      <c r="CG58" s="113"/>
      <c r="CH58" s="113"/>
      <c r="CI58" s="113"/>
      <c r="CJ58" s="99"/>
      <c r="CK58" s="99"/>
      <c r="CL58" s="113"/>
      <c r="CM58" s="113"/>
      <c r="CN58" s="113"/>
      <c r="CO58" s="113"/>
      <c r="CP58" s="113"/>
      <c r="CQ58" s="99"/>
      <c r="CR58" s="99"/>
      <c r="CS58" s="113"/>
      <c r="CT58" s="113"/>
      <c r="CU58" s="116"/>
      <c r="CV58" s="116"/>
    </row>
    <row r="59" spans="1:100" ht="24.95" customHeight="1" x14ac:dyDescent="0.5">
      <c r="B59" s="100"/>
      <c r="C59" s="102"/>
      <c r="D59" s="102"/>
      <c r="E59" s="102"/>
      <c r="F59" s="134"/>
      <c r="G59" s="134"/>
      <c r="H59" s="102"/>
      <c r="J59" s="98"/>
      <c r="K59" s="99"/>
      <c r="L59" s="99"/>
      <c r="M59" s="98"/>
      <c r="N59" s="98"/>
      <c r="O59" s="98"/>
      <c r="P59" s="98"/>
      <c r="Q59" s="98"/>
      <c r="R59" s="99"/>
      <c r="S59" s="99"/>
      <c r="T59" s="98"/>
      <c r="U59" s="98"/>
      <c r="V59" s="98"/>
      <c r="W59" s="98"/>
      <c r="X59" s="98"/>
      <c r="Y59" s="99"/>
      <c r="Z59" s="99"/>
      <c r="AA59" s="98"/>
      <c r="AB59" s="98"/>
      <c r="AC59" s="98"/>
      <c r="AD59" s="98"/>
      <c r="AE59" s="98"/>
      <c r="AF59" s="99"/>
      <c r="AG59" s="99"/>
      <c r="AH59" s="98"/>
      <c r="AI59" s="98"/>
      <c r="AJ59" s="98"/>
      <c r="AK59" s="98"/>
      <c r="AL59" s="98"/>
      <c r="AM59" s="99"/>
      <c r="AN59" s="99"/>
      <c r="AO59" s="98"/>
      <c r="AP59" s="98"/>
      <c r="AQ59" s="98"/>
      <c r="AR59" s="98"/>
      <c r="AS59" s="98"/>
      <c r="AT59" s="99"/>
      <c r="AU59" s="99"/>
      <c r="AV59" s="98"/>
      <c r="AW59" s="98"/>
      <c r="AX59" s="98"/>
      <c r="AY59" s="98"/>
      <c r="AZ59" s="98"/>
      <c r="BA59" s="99"/>
      <c r="BB59" s="99"/>
      <c r="BC59" s="98"/>
      <c r="BD59" s="98"/>
      <c r="BE59" s="98"/>
      <c r="BF59" s="98"/>
      <c r="BG59" s="98"/>
      <c r="BH59" s="99"/>
      <c r="BI59" s="99"/>
      <c r="BJ59" s="98"/>
      <c r="BK59" s="98"/>
      <c r="BL59" s="98"/>
      <c r="BM59" s="98"/>
      <c r="BN59" s="98"/>
      <c r="BO59" s="99"/>
      <c r="BP59" s="99"/>
      <c r="BQ59" s="98"/>
      <c r="BR59" s="98"/>
      <c r="BS59" s="98"/>
      <c r="BT59" s="98"/>
      <c r="BU59" s="98"/>
      <c r="BV59" s="99"/>
      <c r="BW59" s="99"/>
      <c r="BX59" s="98"/>
      <c r="BY59" s="98"/>
      <c r="BZ59" s="98"/>
      <c r="CA59" s="98"/>
      <c r="CB59" s="98"/>
      <c r="CC59" s="99"/>
      <c r="CD59" s="99"/>
      <c r="CE59" s="98"/>
      <c r="CF59" s="98"/>
      <c r="CG59" s="98"/>
      <c r="CH59" s="98"/>
      <c r="CI59" s="98"/>
      <c r="CJ59" s="99"/>
      <c r="CK59" s="99"/>
      <c r="CL59" s="98"/>
      <c r="CM59" s="98"/>
      <c r="CN59" s="98"/>
      <c r="CO59" s="98"/>
      <c r="CP59" s="98"/>
      <c r="CQ59" s="99"/>
      <c r="CR59" s="99"/>
      <c r="CS59" s="98"/>
      <c r="CT59" s="98"/>
      <c r="CU59" s="98"/>
      <c r="CV59" s="98"/>
    </row>
    <row r="60" spans="1:100" ht="24.95" customHeight="1" x14ac:dyDescent="0.5">
      <c r="B60" s="106"/>
      <c r="C60" s="107"/>
      <c r="D60" s="107"/>
      <c r="E60" s="107"/>
      <c r="F60" s="138"/>
      <c r="G60" s="138"/>
      <c r="H60" s="107"/>
      <c r="J60" s="113"/>
      <c r="K60" s="99"/>
      <c r="L60" s="99"/>
      <c r="M60" s="113"/>
      <c r="N60" s="113"/>
      <c r="O60" s="113"/>
      <c r="P60" s="113"/>
      <c r="Q60" s="113"/>
      <c r="R60" s="99"/>
      <c r="S60" s="99"/>
      <c r="T60" s="113"/>
      <c r="U60" s="113"/>
      <c r="V60" s="113"/>
      <c r="W60" s="113"/>
      <c r="X60" s="113"/>
      <c r="Y60" s="99"/>
      <c r="Z60" s="99"/>
      <c r="AA60" s="113"/>
      <c r="AB60" s="113"/>
      <c r="AC60" s="113"/>
      <c r="AD60" s="113"/>
      <c r="AE60" s="113"/>
      <c r="AF60" s="99"/>
      <c r="AG60" s="99"/>
      <c r="AH60" s="113"/>
      <c r="AI60" s="113"/>
      <c r="AJ60" s="113"/>
      <c r="AK60" s="113"/>
      <c r="AL60" s="113"/>
      <c r="AM60" s="99"/>
      <c r="AN60" s="99"/>
      <c r="AO60" s="113"/>
      <c r="AP60" s="113"/>
      <c r="AQ60" s="113"/>
      <c r="AR60" s="113"/>
      <c r="AS60" s="113"/>
      <c r="AT60" s="99"/>
      <c r="AU60" s="99"/>
      <c r="AV60" s="113"/>
      <c r="AW60" s="113"/>
      <c r="AX60" s="113"/>
      <c r="AY60" s="113"/>
      <c r="AZ60" s="113"/>
      <c r="BA60" s="99"/>
      <c r="BB60" s="99"/>
      <c r="BC60" s="113"/>
      <c r="BD60" s="113"/>
      <c r="BE60" s="113"/>
      <c r="BF60" s="113"/>
      <c r="BG60" s="113"/>
      <c r="BH60" s="99"/>
      <c r="BI60" s="99"/>
      <c r="BJ60" s="113"/>
      <c r="BK60" s="113"/>
      <c r="BL60" s="113"/>
      <c r="BM60" s="113"/>
      <c r="BN60" s="113"/>
      <c r="BO60" s="99"/>
      <c r="BP60" s="99"/>
      <c r="BQ60" s="113"/>
      <c r="BR60" s="113"/>
      <c r="BS60" s="113"/>
      <c r="BT60" s="113"/>
      <c r="BU60" s="113"/>
      <c r="BV60" s="99"/>
      <c r="BW60" s="99"/>
      <c r="BX60" s="113"/>
      <c r="BY60" s="113"/>
      <c r="BZ60" s="113"/>
      <c r="CA60" s="113"/>
      <c r="CB60" s="113"/>
      <c r="CC60" s="99"/>
      <c r="CD60" s="99"/>
      <c r="CE60" s="113"/>
      <c r="CF60" s="113"/>
      <c r="CG60" s="113"/>
      <c r="CH60" s="113"/>
      <c r="CI60" s="113"/>
      <c r="CJ60" s="99"/>
      <c r="CK60" s="99"/>
      <c r="CL60" s="113"/>
      <c r="CM60" s="113"/>
      <c r="CN60" s="113"/>
      <c r="CO60" s="113"/>
      <c r="CP60" s="113"/>
      <c r="CQ60" s="99"/>
      <c r="CR60" s="99"/>
      <c r="CS60" s="113"/>
      <c r="CT60" s="113"/>
      <c r="CU60" s="113"/>
      <c r="CV60" s="113"/>
    </row>
    <row r="61" spans="1:100" ht="24.95" customHeight="1" x14ac:dyDescent="0.5">
      <c r="J61" s="98"/>
      <c r="K61" s="99"/>
      <c r="L61" s="99"/>
      <c r="M61" s="98"/>
      <c r="N61" s="98"/>
      <c r="O61" s="98"/>
      <c r="P61" s="98"/>
      <c r="Q61" s="98"/>
      <c r="R61" s="99"/>
      <c r="S61" s="99"/>
      <c r="T61" s="98"/>
      <c r="U61" s="98"/>
      <c r="V61" s="98"/>
      <c r="W61" s="98"/>
      <c r="X61" s="98"/>
      <c r="Y61" s="99"/>
      <c r="Z61" s="99"/>
      <c r="AA61" s="98"/>
      <c r="AB61" s="98"/>
      <c r="AC61" s="98"/>
      <c r="AD61" s="98"/>
      <c r="AE61" s="98"/>
      <c r="AF61" s="99"/>
      <c r="AG61" s="99"/>
      <c r="AH61" s="98"/>
      <c r="AI61" s="98"/>
      <c r="AJ61" s="98"/>
      <c r="AK61" s="98"/>
      <c r="AL61" s="98"/>
      <c r="AM61" s="99"/>
      <c r="AN61" s="99"/>
      <c r="AO61" s="98"/>
      <c r="AP61" s="98"/>
      <c r="AQ61" s="98"/>
      <c r="AR61" s="98"/>
      <c r="AS61" s="98"/>
      <c r="AT61" s="99"/>
      <c r="AU61" s="99"/>
      <c r="AV61" s="98"/>
      <c r="AW61" s="98"/>
      <c r="AX61" s="98"/>
      <c r="AY61" s="98"/>
      <c r="AZ61" s="98"/>
      <c r="BA61" s="99"/>
      <c r="BB61" s="99"/>
      <c r="BC61" s="98"/>
      <c r="BD61" s="98"/>
      <c r="BE61" s="98"/>
      <c r="BF61" s="98"/>
      <c r="BG61" s="98"/>
      <c r="BH61" s="99"/>
      <c r="BI61" s="99"/>
      <c r="BJ61" s="98"/>
      <c r="BK61" s="98"/>
      <c r="BL61" s="98"/>
      <c r="BM61" s="98"/>
      <c r="BN61" s="98"/>
      <c r="BO61" s="99"/>
      <c r="BP61" s="99"/>
      <c r="BQ61" s="98"/>
      <c r="BR61" s="98"/>
      <c r="BS61" s="98"/>
      <c r="BT61" s="98"/>
      <c r="BU61" s="98"/>
      <c r="BV61" s="99"/>
      <c r="BW61" s="99"/>
      <c r="BX61" s="98"/>
      <c r="BY61" s="98"/>
      <c r="BZ61" s="98"/>
      <c r="CA61" s="98"/>
      <c r="CB61" s="98"/>
      <c r="CC61" s="99"/>
      <c r="CD61" s="99"/>
      <c r="CE61" s="98"/>
      <c r="CF61" s="98"/>
      <c r="CG61" s="98"/>
      <c r="CH61" s="98"/>
      <c r="CI61" s="98"/>
      <c r="CJ61" s="99"/>
      <c r="CK61" s="99"/>
      <c r="CL61" s="98"/>
      <c r="CM61" s="98"/>
      <c r="CN61" s="98"/>
      <c r="CO61" s="98"/>
      <c r="CP61" s="98"/>
      <c r="CQ61" s="99"/>
      <c r="CR61" s="99"/>
      <c r="CS61" s="98"/>
      <c r="CT61" s="98"/>
      <c r="CU61" s="98"/>
      <c r="CV61" s="98"/>
    </row>
    <row r="62" spans="1:100" ht="40.15" customHeight="1" x14ac:dyDescent="0.5">
      <c r="F62" s="140"/>
      <c r="G62" s="140"/>
    </row>
  </sheetData>
  <mergeCells count="8">
    <mergeCell ref="Y4:AB4"/>
    <mergeCell ref="AD4:AG4"/>
    <mergeCell ref="B2:I2"/>
    <mergeCell ref="J2:O2"/>
    <mergeCell ref="P2:U2"/>
    <mergeCell ref="J4:M4"/>
    <mergeCell ref="O4:R4"/>
    <mergeCell ref="T4:W4"/>
  </mergeCells>
  <phoneticPr fontId="38" type="noConversion"/>
  <conditionalFormatting sqref="E11:E12">
    <cfRule type="dataBar" priority="1">
      <dataBar>
        <cfvo type="num" val="0"/>
        <cfvo type="num" val="1"/>
        <color theme="9" tint="0.59996337778862885"/>
      </dataBar>
    </cfRule>
  </conditionalFormatting>
  <conditionalFormatting sqref="E13:E17 E9 E19:E49">
    <cfRule type="dataBar" priority="6">
      <dataBar>
        <cfvo type="num" val="0"/>
        <cfvo type="num" val="1"/>
        <color theme="9" tint="0.59996337778862885"/>
      </dataBar>
    </cfRule>
  </conditionalFormatting>
  <conditionalFormatting sqref="J6:AN6">
    <cfRule type="expression" dxfId="24" priority="5">
      <formula>J$7&lt;=EOMONTH($J$7,0)</formula>
    </cfRule>
  </conditionalFormatting>
  <conditionalFormatting sqref="J6:BM6">
    <cfRule type="expression" dxfId="23" priority="3">
      <formula>AND(J$7&lt;=EOMONTH($J$7,1),J$7&gt;EOMONTH($J$7,0))</formula>
    </cfRule>
  </conditionalFormatting>
  <conditionalFormatting sqref="J7:BM49">
    <cfRule type="expression" dxfId="22" priority="2">
      <formula>AND(TODAY()&gt;=J$7,TODAY()&lt;K$7)</formula>
    </cfRule>
  </conditionalFormatting>
  <conditionalFormatting sqref="J10:BM10">
    <cfRule type="expression" dxfId="21" priority="18" stopIfTrue="1">
      <formula>AND(#REF!="低风险",J$7&gt;=#REF!,J$7&lt;=#REF!+#REF!-1)</formula>
    </cfRule>
    <cfRule type="expression" dxfId="20" priority="19" stopIfTrue="1">
      <formula>AND(#REF!="高风险",J$7&gt;=#REF!,J$7&lt;=#REF!+#REF!-1)</formula>
    </cfRule>
    <cfRule type="expression" dxfId="19" priority="20" stopIfTrue="1">
      <formula>AND(#REF!="步入正轨",J$7&gt;=#REF!,J$7&lt;=#REF!+#REF!-1)</formula>
    </cfRule>
    <cfRule type="expression" dxfId="18" priority="21" stopIfTrue="1">
      <formula>AND(#REF!="中等风险",J$7&gt;=#REF!,J$7&lt;=#REF!+#REF!-1)</formula>
    </cfRule>
    <cfRule type="expression" dxfId="17" priority="22" stopIfTrue="1">
      <formula>AND(LEN(#REF!)=0,J$7&gt;=#REF!,J$7&lt;=#REF!+#REF!-1)</formula>
    </cfRule>
  </conditionalFormatting>
  <conditionalFormatting sqref="J11:BM17 J20:BM48">
    <cfRule type="expression" dxfId="16" priority="8" stopIfTrue="1">
      <formula>AND($C11="低风险",J$7&gt;=$F11,J$7&lt;=$F11+$H11-1)</formula>
    </cfRule>
    <cfRule type="expression" dxfId="15" priority="9" stopIfTrue="1">
      <formula>AND($C11="高风险",J$7&gt;=$F11,J$7&lt;=$F11+$H11-1)</formula>
    </cfRule>
    <cfRule type="expression" dxfId="14" priority="10" stopIfTrue="1">
      <formula>AND($C11="步入正轨",J$7&gt;=$F11,J$7&lt;=$F11+$H11-1)</formula>
    </cfRule>
    <cfRule type="expression" dxfId="13" priority="11" stopIfTrue="1">
      <formula>AND($C11="中等风险",J$7&gt;=$F11,J$7&lt;=$F11+$H11-1)</formula>
    </cfRule>
    <cfRule type="expression" dxfId="12" priority="12" stopIfTrue="1">
      <formula>AND(LEN($C11)=0,J$7&gt;=$F11,J$7&lt;=$F11+$H11-1)</formula>
    </cfRule>
  </conditionalFormatting>
  <conditionalFormatting sqref="J18:BM18">
    <cfRule type="expression" dxfId="11" priority="28" stopIfTrue="1">
      <formula>AND($C19="低风险",J$7&gt;=$F19,J$7&lt;=$F19+$H19-1)</formula>
    </cfRule>
    <cfRule type="expression" dxfId="10" priority="29" stopIfTrue="1">
      <formula>AND($C19="高风险",J$7&gt;=$F19,J$7&lt;=$F19+$H19-1)</formula>
    </cfRule>
    <cfRule type="expression" dxfId="9" priority="30" stopIfTrue="1">
      <formula>AND($C19="步入正轨",J$7&gt;=$F19,J$7&lt;=$F19+$H19-1)</formula>
    </cfRule>
    <cfRule type="expression" dxfId="8" priority="31" stopIfTrue="1">
      <formula>AND($C19="中等风险",J$7&gt;=$F19,J$7&lt;=$F19+$H19-1)</formula>
    </cfRule>
    <cfRule type="expression" dxfId="7" priority="32" stopIfTrue="1">
      <formula>AND(LEN($C19)=0,J$7&gt;=$F19,J$7&lt;=$F19+$H19-1)</formula>
    </cfRule>
  </conditionalFormatting>
  <conditionalFormatting sqref="J19:BM19">
    <cfRule type="expression" dxfId="6" priority="23" stopIfTrue="1">
      <formula>AND(#REF!="低风险",J$7&gt;=#REF!,J$7&lt;=#REF!+#REF!-1)</formula>
    </cfRule>
    <cfRule type="expression" dxfId="5" priority="24" stopIfTrue="1">
      <formula>AND(#REF!="高风险",J$7&gt;=#REF!,J$7&lt;=#REF!+#REF!-1)</formula>
    </cfRule>
    <cfRule type="expression" dxfId="4" priority="25" stopIfTrue="1">
      <formula>AND(#REF!="步入正轨",J$7&gt;=#REF!,J$7&lt;=#REF!+#REF!-1)</formula>
    </cfRule>
    <cfRule type="expression" dxfId="3" priority="26" stopIfTrue="1">
      <formula>AND(#REF!="中等风险",J$7&gt;=#REF!,J$7&lt;=#REF!+#REF!-1)</formula>
    </cfRule>
    <cfRule type="expression" dxfId="2" priority="27" stopIfTrue="1">
      <formula>AND(LEN(#REF!)=0,J$7&gt;=#REF!,J$7&lt;=#REF!+#REF!-1)</formula>
    </cfRule>
  </conditionalFormatting>
  <conditionalFormatting sqref="K6:BM6">
    <cfRule type="expression" dxfId="1" priority="4">
      <formula>AND(K$7&lt;=EOMONTH($J$7,2),K$7&gt;EOMONTH($J$7,0),K$7&gt;EOMONTH($J$7,1))</formula>
    </cfRule>
  </conditionalFormatting>
  <dataValidations count="12">
    <dataValidation allowBlank="1" showInputMessage="1" showErrorMessage="1" promptTitle="创建甘特图" prompt="在单元格 B2 中输入此项目的标题。_x000a_ 有关如何使用此工作表的信息，包括屏幕阅读器和此工作簿作者的说明，请参阅“关于工作表”。_x000a_ 继续向下导航到 A 列，听取进一步的说明。" sqref="A2" xr:uid="{00000000-0002-0000-0100-000000000000}"/>
    <dataValidation allowBlank="1" showInputMessage="1" showErrorMessage="1" prompt="在单元格 B4 中输入公司名。_x000a_图例位于单元格 I4 到 AC4。“图例”标签位于单元格 G4。" sqref="A4" xr:uid="{00000000-0002-0000-0100-000001000000}"/>
    <dataValidation allowBlank="1" showInputMessage="1" showErrorMessage="1" prompt="在单元格 B5 中输入“项目主管”姓名。在单元格 C6 中输入“项目开始”日期，或允许示例公式查找“甘特数据”表中的最小日期值。“项目开始日期：标签”位于单元格 B6。" sqref="A5" xr:uid="{00000000-0002-0000-0100-000002000000}"/>
    <dataValidation allowBlank="1" showInputMessage="1" showErrorMessage="1" prompt="滚动增量位于单元格 C7。_x000a_ 日期月份位于第 7 行，从单元格 I6 开始到单元格 BL6。_x000a_ 请不要修改这些单元格。它们会根据单元格 F6 中的项目开始日期自动更新。" sqref="A6" xr:uid="{00000000-0002-0000-0100-000003000000}"/>
    <dataValidation allowBlank="1" showInputMessage="1" showErrorMessage="1" prompt="单元格 I9 到 BL9 包含每个日期单元格上方“月”单元格块的当月日期，这些单元格自动计算。_x000a_ 请不要修改这些单元格。_x000a_" sqref="A7" xr:uid="{00000000-0002-0000-0100-000004000000}"/>
    <dataValidation type="whole" operator="greaterThanOrEqual" allowBlank="1" showInputMessage="1" promptTitle="滚动增量" prompt="更改此数字将滚动“甘特图”视图。" sqref="C7" xr:uid="{00000000-0002-0000-0100-000005000000}">
      <formula1>0</formula1>
    </dataValidation>
    <dataValidation allowBlank="1" showInputMessage="1" showErrorMessage="1" prompt="滚动条位于单元格 I8 到 BL8。_x000a_ 要在时间线中前后跳转，请在单元格 C7 中输入 0 或更高的值。_x000a_  0 值将带你跳转到图表开端。" sqref="A8" xr:uid="{00000000-0002-0000-0100-000006000000}"/>
    <dataValidation allowBlank="1" showInputMessage="1" showErrorMessage="1" prompt="此行包含项目日程安排的标题。B9 到 G9 包含日程安排信息。单元格 I9 到 BL9 包含该标题上方日期一周七天的首个字母。 所有项目时间线制图会自动生成。" sqref="A9" xr:uid="{00000000-0002-0000-0100-000007000000}"/>
    <dataValidation type="list" allowBlank="1" showInputMessage="1" showErrorMessage="1" sqref="C11 C13:C17 C19:C48" xr:uid="{00000000-0002-0000-0100-000008000000}">
      <formula1>"目标,里程碑,步入正轨, 低风险, 中等风险, 高风险"</formula1>
    </dataValidation>
    <dataValidation type="list" allowBlank="1" showInputMessage="1" sqref="C12" xr:uid="{00000000-0002-0000-0100-000009000000}">
      <formula1>"目标,里程碑,步入正轨, 低风险, 中等风险, 高风险"</formula1>
    </dataValidation>
    <dataValidation allowBlank="1" showInputMessage="1" showErrorMessage="1" prompt="此行标记甘特里程碑数据的结尾。请不要在此行输入任何内容。_x000a_ 要添加更多项目，请在此行上方插入新行。_x000a_" sqref="A49" xr:uid="{00000000-0002-0000-0100-00000A000000}"/>
    <dataValidation allowBlank="1" showInputMessage="1" showErrorMessage="1" prompt="此为空行" sqref="A45:A48" xr:uid="{00000000-0002-0000-0100-00000B000000}"/>
  </dataValidations>
  <printOptions horizontalCentered="1"/>
  <pageMargins left="0.25" right="0.25" top="0.5" bottom="0.5" header="0.3" footer="0.3"/>
  <pageSetup paperSize="9" scale="42" fitToHeight="0" orientation="landscape"/>
  <headerFooter differentFirst="1" scaleWithDoc="0">
    <oddFooter>&amp;CPage &amp;P of &amp;N</oddFooter>
  </headerFooter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37"/>
  <sheetViews>
    <sheetView workbookViewId="0">
      <selection activeCell="H11" sqref="H11"/>
    </sheetView>
  </sheetViews>
  <sheetFormatPr defaultColWidth="9" defaultRowHeight="15" x14ac:dyDescent="0.5"/>
  <cols>
    <col min="1" max="1" width="2" customWidth="1"/>
    <col min="2" max="2" width="4.3515625" customWidth="1"/>
    <col min="3" max="3" width="14" customWidth="1"/>
    <col min="4" max="4" width="46.3515625" customWidth="1"/>
    <col min="6" max="6" width="15" customWidth="1"/>
    <col min="7" max="7" width="11.76171875" customWidth="1"/>
    <col min="11" max="11" width="10.46875" customWidth="1"/>
    <col min="12" max="12" width="11.64453125" customWidth="1"/>
    <col min="13" max="13" width="15" customWidth="1"/>
  </cols>
  <sheetData>
    <row r="1" spans="2:13" ht="6" customHeight="1" x14ac:dyDescent="0.5"/>
    <row r="2" spans="2:13" ht="27.75" customHeight="1" x14ac:dyDescent="0.5">
      <c r="B2" s="190" t="s">
        <v>23</v>
      </c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2"/>
    </row>
    <row r="3" spans="2:13" ht="20.100000000000001" customHeight="1" x14ac:dyDescent="0.5">
      <c r="B3" s="48" t="s">
        <v>24</v>
      </c>
      <c r="C3" s="49" t="s">
        <v>25</v>
      </c>
      <c r="D3" s="49" t="s">
        <v>26</v>
      </c>
      <c r="E3" s="49" t="s">
        <v>27</v>
      </c>
      <c r="F3" s="49" t="s">
        <v>28</v>
      </c>
      <c r="G3" s="49" t="s">
        <v>29</v>
      </c>
      <c r="H3" s="49" t="s">
        <v>30</v>
      </c>
      <c r="I3" s="49" t="s">
        <v>31</v>
      </c>
      <c r="J3" s="49" t="s">
        <v>32</v>
      </c>
      <c r="K3" s="49" t="s">
        <v>33</v>
      </c>
      <c r="L3" s="49" t="s">
        <v>18</v>
      </c>
      <c r="M3" s="50" t="s">
        <v>34</v>
      </c>
    </row>
    <row r="4" spans="2:13" ht="20.100000000000001" customHeight="1" x14ac:dyDescent="0.5">
      <c r="B4" s="41">
        <v>1</v>
      </c>
      <c r="C4" s="42" t="s">
        <v>35</v>
      </c>
      <c r="D4" s="42" t="s">
        <v>36</v>
      </c>
      <c r="E4" s="42" t="s">
        <v>37</v>
      </c>
      <c r="F4" s="51">
        <v>44404</v>
      </c>
      <c r="G4" s="42" t="s">
        <v>38</v>
      </c>
      <c r="H4" s="42" t="s">
        <v>19</v>
      </c>
      <c r="I4" s="52" t="s">
        <v>39</v>
      </c>
      <c r="J4" s="52" t="s">
        <v>39</v>
      </c>
      <c r="K4" s="52" t="s">
        <v>40</v>
      </c>
      <c r="L4" s="42" t="s">
        <v>41</v>
      </c>
      <c r="M4" s="53">
        <v>44410</v>
      </c>
    </row>
    <row r="5" spans="2:13" ht="20.100000000000001" customHeight="1" x14ac:dyDescent="0.5">
      <c r="B5" s="41">
        <v>2</v>
      </c>
      <c r="C5" s="42"/>
      <c r="D5" s="42"/>
      <c r="E5" s="42"/>
      <c r="F5" s="51"/>
      <c r="G5" s="42"/>
      <c r="H5" s="42"/>
      <c r="I5" s="52"/>
      <c r="J5" s="52"/>
      <c r="K5" s="52"/>
      <c r="L5" s="42"/>
      <c r="M5" s="53"/>
    </row>
    <row r="6" spans="2:13" ht="20.100000000000001" customHeight="1" x14ac:dyDescent="0.5">
      <c r="B6" s="41">
        <v>3</v>
      </c>
      <c r="C6" s="42"/>
      <c r="D6" s="42"/>
      <c r="E6" s="42"/>
      <c r="F6" s="51"/>
      <c r="G6" s="42"/>
      <c r="H6" s="42"/>
      <c r="I6" s="52"/>
      <c r="J6" s="52"/>
      <c r="K6" s="52"/>
      <c r="L6" s="42"/>
      <c r="M6" s="53"/>
    </row>
    <row r="7" spans="2:13" ht="20.100000000000001" customHeight="1" x14ac:dyDescent="0.5">
      <c r="B7" s="41">
        <v>4</v>
      </c>
      <c r="C7" s="42"/>
      <c r="D7" s="42"/>
      <c r="E7" s="42"/>
      <c r="F7" s="51"/>
      <c r="G7" s="42"/>
      <c r="H7" s="42"/>
      <c r="I7" s="52"/>
      <c r="J7" s="52"/>
      <c r="K7" s="52"/>
      <c r="L7" s="42"/>
      <c r="M7" s="53"/>
    </row>
    <row r="8" spans="2:13" ht="20.100000000000001" customHeight="1" x14ac:dyDescent="0.5">
      <c r="B8" s="41">
        <v>5</v>
      </c>
      <c r="C8" s="42"/>
      <c r="D8" s="42"/>
      <c r="E8" s="42"/>
      <c r="F8" s="51"/>
      <c r="G8" s="42"/>
      <c r="H8" s="42"/>
      <c r="I8" s="52"/>
      <c r="J8" s="52"/>
      <c r="K8" s="52"/>
      <c r="L8" s="42"/>
      <c r="M8" s="53"/>
    </row>
    <row r="9" spans="2:13" ht="20.100000000000001" customHeight="1" x14ac:dyDescent="0.5">
      <c r="B9" s="41">
        <v>6</v>
      </c>
      <c r="C9" s="42"/>
      <c r="D9" s="42"/>
      <c r="E9" s="42"/>
      <c r="F9" s="51"/>
      <c r="G9" s="42"/>
      <c r="H9" s="42"/>
      <c r="I9" s="52"/>
      <c r="J9" s="52"/>
      <c r="K9" s="52"/>
      <c r="L9" s="42"/>
      <c r="M9" s="53"/>
    </row>
    <row r="10" spans="2:13" ht="20.100000000000001" customHeight="1" x14ac:dyDescent="0.5">
      <c r="B10" s="41">
        <v>7</v>
      </c>
      <c r="C10" s="42"/>
      <c r="D10" s="42"/>
      <c r="E10" s="42"/>
      <c r="F10" s="51"/>
      <c r="G10" s="42"/>
      <c r="H10" s="42"/>
      <c r="I10" s="52"/>
      <c r="J10" s="52"/>
      <c r="K10" s="52"/>
      <c r="L10" s="42"/>
      <c r="M10" s="53"/>
    </row>
    <row r="11" spans="2:13" ht="20.100000000000001" customHeight="1" x14ac:dyDescent="0.5">
      <c r="B11" s="41">
        <v>8</v>
      </c>
      <c r="C11" s="42"/>
      <c r="D11" s="42"/>
      <c r="E11" s="42"/>
      <c r="F11" s="51"/>
      <c r="G11" s="42"/>
      <c r="H11" s="42"/>
      <c r="I11" s="52"/>
      <c r="J11" s="52"/>
      <c r="K11" s="52"/>
      <c r="L11" s="42"/>
      <c r="M11" s="53"/>
    </row>
    <row r="12" spans="2:13" ht="20.100000000000001" customHeight="1" x14ac:dyDescent="0.5">
      <c r="B12" s="41">
        <v>9</v>
      </c>
      <c r="C12" s="42"/>
      <c r="D12" s="42"/>
      <c r="E12" s="42"/>
      <c r="F12" s="51"/>
      <c r="G12" s="42"/>
      <c r="H12" s="42"/>
      <c r="I12" s="52"/>
      <c r="J12" s="52"/>
      <c r="K12" s="52"/>
      <c r="L12" s="42"/>
      <c r="M12" s="53"/>
    </row>
    <row r="13" spans="2:13" ht="20.100000000000001" customHeight="1" x14ac:dyDescent="0.5">
      <c r="B13" s="44"/>
      <c r="C13" s="45"/>
      <c r="D13" s="45"/>
      <c r="E13" s="45"/>
      <c r="F13" s="54"/>
      <c r="G13" s="45"/>
      <c r="H13" s="45"/>
      <c r="I13" s="55"/>
      <c r="J13" s="55"/>
      <c r="K13" s="55"/>
      <c r="L13" s="45"/>
      <c r="M13" s="56"/>
    </row>
    <row r="14" spans="2:13" x14ac:dyDescent="0.5"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2:13" x14ac:dyDescent="0.5">
      <c r="B15" s="57" t="s">
        <v>42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</row>
    <row r="16" spans="2:13" x14ac:dyDescent="0.5">
      <c r="B16" s="57"/>
      <c r="C16" s="193" t="s">
        <v>43</v>
      </c>
      <c r="D16" s="169"/>
      <c r="E16" s="169"/>
      <c r="F16" s="169"/>
      <c r="G16" s="169"/>
      <c r="H16" s="169"/>
      <c r="I16" s="169"/>
      <c r="J16" s="169"/>
      <c r="K16" s="169"/>
      <c r="L16" s="169"/>
      <c r="M16" s="169"/>
    </row>
    <row r="17" spans="2:13" x14ac:dyDescent="0.5">
      <c r="B17" s="57"/>
      <c r="C17" s="193" t="s">
        <v>44</v>
      </c>
      <c r="D17" s="169"/>
      <c r="E17" s="169"/>
      <c r="F17" s="169"/>
      <c r="G17" s="169"/>
      <c r="H17" s="169"/>
      <c r="I17" s="169"/>
      <c r="J17" s="169"/>
      <c r="K17" s="169"/>
      <c r="L17" s="169"/>
      <c r="M17" s="169"/>
    </row>
    <row r="18" spans="2:13" x14ac:dyDescent="0.5">
      <c r="B18" s="57"/>
      <c r="C18" s="193" t="s">
        <v>45</v>
      </c>
      <c r="D18" s="169"/>
      <c r="E18" s="169"/>
      <c r="F18" s="169"/>
      <c r="G18" s="169"/>
      <c r="H18" s="169"/>
      <c r="I18" s="169"/>
      <c r="J18" s="169"/>
      <c r="K18" s="169"/>
      <c r="L18" s="169"/>
      <c r="M18" s="169"/>
    </row>
    <row r="23" spans="2:13" ht="17.25" customHeight="1" x14ac:dyDescent="0.5"/>
    <row r="24" spans="2:13" ht="27.75" customHeight="1" x14ac:dyDescent="0.5">
      <c r="B24" s="190" t="s">
        <v>23</v>
      </c>
      <c r="C24" s="191"/>
      <c r="D24" s="191"/>
      <c r="E24" s="191"/>
      <c r="F24" s="191"/>
      <c r="G24" s="191"/>
      <c r="H24" s="191"/>
      <c r="I24" s="191"/>
      <c r="J24" s="192"/>
    </row>
    <row r="25" spans="2:13" ht="20.100000000000001" customHeight="1" x14ac:dyDescent="0.5">
      <c r="B25" s="184" t="s">
        <v>46</v>
      </c>
      <c r="C25" s="186"/>
      <c r="D25" s="187"/>
      <c r="E25" s="188"/>
      <c r="F25" s="186"/>
      <c r="G25" s="189" t="s">
        <v>47</v>
      </c>
      <c r="H25" s="186"/>
      <c r="I25" s="187"/>
      <c r="J25" s="186"/>
    </row>
    <row r="26" spans="2:13" ht="20.100000000000001" customHeight="1" x14ac:dyDescent="0.5">
      <c r="B26" s="184" t="s">
        <v>30</v>
      </c>
      <c r="C26" s="186"/>
      <c r="D26" s="187"/>
      <c r="E26" s="188"/>
      <c r="F26" s="186"/>
      <c r="G26" s="189" t="s">
        <v>48</v>
      </c>
      <c r="H26" s="186"/>
      <c r="I26" s="187"/>
      <c r="J26" s="186"/>
    </row>
    <row r="27" spans="2:13" ht="20.100000000000001" customHeight="1" x14ac:dyDescent="0.5">
      <c r="B27" s="184" t="s">
        <v>32</v>
      </c>
      <c r="C27" s="186"/>
      <c r="D27" s="187"/>
      <c r="E27" s="188"/>
      <c r="F27" s="186"/>
      <c r="G27" s="189" t="s">
        <v>31</v>
      </c>
      <c r="H27" s="186"/>
      <c r="I27" s="187"/>
      <c r="J27" s="186"/>
    </row>
    <row r="28" spans="2:13" ht="20.100000000000001" customHeight="1" x14ac:dyDescent="0.5">
      <c r="B28" s="184" t="s">
        <v>28</v>
      </c>
      <c r="C28" s="186"/>
      <c r="D28" s="187"/>
      <c r="E28" s="188"/>
      <c r="F28" s="186"/>
      <c r="G28" s="189" t="s">
        <v>49</v>
      </c>
      <c r="H28" s="186"/>
      <c r="I28" s="187"/>
      <c r="J28" s="186"/>
    </row>
    <row r="29" spans="2:13" ht="20.100000000000001" customHeight="1" x14ac:dyDescent="0.5">
      <c r="B29" s="184" t="s">
        <v>50</v>
      </c>
      <c r="C29" s="186"/>
      <c r="D29" s="187"/>
      <c r="E29" s="188"/>
      <c r="F29" s="186"/>
      <c r="G29" s="189" t="s">
        <v>18</v>
      </c>
      <c r="H29" s="186"/>
      <c r="I29" s="187"/>
      <c r="J29" s="186"/>
    </row>
    <row r="30" spans="2:13" x14ac:dyDescent="0.5">
      <c r="B30" s="184" t="s">
        <v>51</v>
      </c>
      <c r="C30" s="180"/>
      <c r="D30" s="178"/>
      <c r="E30" s="179"/>
      <c r="F30" s="179"/>
      <c r="G30" s="179"/>
      <c r="H30" s="179"/>
      <c r="I30" s="179"/>
      <c r="J30" s="180"/>
    </row>
    <row r="31" spans="2:13" x14ac:dyDescent="0.5">
      <c r="B31" s="185"/>
      <c r="C31" s="183"/>
      <c r="D31" s="181"/>
      <c r="E31" s="182"/>
      <c r="F31" s="182"/>
      <c r="G31" s="182"/>
      <c r="H31" s="182"/>
      <c r="I31" s="182"/>
      <c r="J31" s="183"/>
    </row>
    <row r="32" spans="2:13" x14ac:dyDescent="0.5">
      <c r="B32" s="184" t="s">
        <v>52</v>
      </c>
      <c r="C32" s="180"/>
      <c r="D32" s="178"/>
      <c r="E32" s="179"/>
      <c r="F32" s="179"/>
      <c r="G32" s="179"/>
      <c r="H32" s="179"/>
      <c r="I32" s="179"/>
      <c r="J32" s="180"/>
    </row>
    <row r="33" spans="2:10" x14ac:dyDescent="0.5">
      <c r="B33" s="185"/>
      <c r="C33" s="183"/>
      <c r="D33" s="181"/>
      <c r="E33" s="182"/>
      <c r="F33" s="182"/>
      <c r="G33" s="182"/>
      <c r="H33" s="182"/>
      <c r="I33" s="182"/>
      <c r="J33" s="183"/>
    </row>
    <row r="34" spans="2:10" x14ac:dyDescent="0.5">
      <c r="B34" s="184" t="s">
        <v>53</v>
      </c>
      <c r="C34" s="180"/>
      <c r="D34" s="178"/>
      <c r="E34" s="179"/>
      <c r="F34" s="179"/>
      <c r="G34" s="179"/>
      <c r="H34" s="179"/>
      <c r="I34" s="179"/>
      <c r="J34" s="180"/>
    </row>
    <row r="35" spans="2:10" x14ac:dyDescent="0.5">
      <c r="B35" s="185"/>
      <c r="C35" s="183"/>
      <c r="D35" s="181"/>
      <c r="E35" s="182"/>
      <c r="F35" s="182"/>
      <c r="G35" s="182"/>
      <c r="H35" s="182"/>
      <c r="I35" s="182"/>
      <c r="J35" s="183"/>
    </row>
    <row r="36" spans="2:10" x14ac:dyDescent="0.5">
      <c r="B36" s="184" t="s">
        <v>54</v>
      </c>
      <c r="C36" s="180"/>
      <c r="D36" s="178"/>
      <c r="E36" s="179"/>
      <c r="F36" s="179"/>
      <c r="G36" s="179"/>
      <c r="H36" s="179"/>
      <c r="I36" s="179"/>
      <c r="J36" s="180"/>
    </row>
    <row r="37" spans="2:10" ht="17.25" customHeight="1" x14ac:dyDescent="0.5">
      <c r="B37" s="185"/>
      <c r="C37" s="183"/>
      <c r="D37" s="181"/>
      <c r="E37" s="182"/>
      <c r="F37" s="182"/>
      <c r="G37" s="182"/>
      <c r="H37" s="182"/>
      <c r="I37" s="182"/>
      <c r="J37" s="183"/>
    </row>
  </sheetData>
  <mergeCells count="33">
    <mergeCell ref="B2:M2"/>
    <mergeCell ref="C16:M16"/>
    <mergeCell ref="C17:M17"/>
    <mergeCell ref="C18:M18"/>
    <mergeCell ref="B24:J24"/>
    <mergeCell ref="B25:C25"/>
    <mergeCell ref="D25:F25"/>
    <mergeCell ref="G25:H25"/>
    <mergeCell ref="I25:J25"/>
    <mergeCell ref="B26:C26"/>
    <mergeCell ref="D26:F26"/>
    <mergeCell ref="G26:H26"/>
    <mergeCell ref="I26:J26"/>
    <mergeCell ref="B27:C27"/>
    <mergeCell ref="D27:F27"/>
    <mergeCell ref="G27:H27"/>
    <mergeCell ref="I27:J27"/>
    <mergeCell ref="B28:C28"/>
    <mergeCell ref="D28:F28"/>
    <mergeCell ref="G28:H28"/>
    <mergeCell ref="I28:J28"/>
    <mergeCell ref="B29:C29"/>
    <mergeCell ref="D29:F29"/>
    <mergeCell ref="G29:H29"/>
    <mergeCell ref="I29:J29"/>
    <mergeCell ref="B34:C35"/>
    <mergeCell ref="D36:J37"/>
    <mergeCell ref="B36:C37"/>
    <mergeCell ref="D32:J33"/>
    <mergeCell ref="B32:C33"/>
    <mergeCell ref="B30:C31"/>
    <mergeCell ref="D30:J31"/>
    <mergeCell ref="D34:J35"/>
  </mergeCells>
  <phoneticPr fontId="3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O35"/>
  <sheetViews>
    <sheetView workbookViewId="0">
      <selection activeCell="C4" sqref="C4:O9"/>
    </sheetView>
  </sheetViews>
  <sheetFormatPr defaultColWidth="8.87890625" defaultRowHeight="15" x14ac:dyDescent="0.5"/>
  <cols>
    <col min="1" max="1" width="1.76171875" style="31" customWidth="1"/>
    <col min="2" max="2" width="6" style="31" customWidth="1"/>
    <col min="3" max="3" width="9.234375" style="31" customWidth="1"/>
    <col min="4" max="4" width="9.87890625" style="31" customWidth="1"/>
    <col min="5" max="5" width="9.64453125" style="31" customWidth="1"/>
    <col min="6" max="11" width="8.87890625" style="31" customWidth="1"/>
    <col min="12" max="12" width="10.52734375" style="31" customWidth="1"/>
    <col min="13" max="13" width="8.87890625" style="31" customWidth="1"/>
    <col min="14" max="16384" width="8.87890625" style="31"/>
  </cols>
  <sheetData>
    <row r="1" spans="2:15" ht="12.75" customHeight="1" x14ac:dyDescent="0.5"/>
    <row r="2" spans="2:15" ht="27.75" customHeight="1" x14ac:dyDescent="0.5">
      <c r="B2" s="204" t="s">
        <v>55</v>
      </c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2"/>
    </row>
    <row r="3" spans="2:15" ht="20.100000000000001" customHeight="1" x14ac:dyDescent="0.5">
      <c r="B3" s="38" t="s">
        <v>24</v>
      </c>
      <c r="C3" s="198" t="s">
        <v>56</v>
      </c>
      <c r="D3" s="188"/>
      <c r="E3" s="186"/>
      <c r="F3" s="39" t="s">
        <v>57</v>
      </c>
      <c r="G3" s="39" t="s">
        <v>58</v>
      </c>
      <c r="H3" s="39" t="s">
        <v>59</v>
      </c>
      <c r="I3" s="39" t="s">
        <v>60</v>
      </c>
      <c r="J3" s="39" t="s">
        <v>61</v>
      </c>
      <c r="K3" s="39" t="s">
        <v>62</v>
      </c>
      <c r="L3" s="39" t="s">
        <v>63</v>
      </c>
      <c r="M3" s="39" t="s">
        <v>64</v>
      </c>
      <c r="N3" s="39" t="s">
        <v>65</v>
      </c>
      <c r="O3" s="40" t="s">
        <v>66</v>
      </c>
    </row>
    <row r="4" spans="2:15" ht="20.100000000000001" customHeight="1" x14ac:dyDescent="0.5">
      <c r="B4" s="41"/>
      <c r="C4" s="197"/>
      <c r="D4" s="188"/>
      <c r="E4" s="186"/>
      <c r="F4" s="42"/>
      <c r="G4" s="42"/>
      <c r="H4" s="42"/>
      <c r="I4" s="42"/>
      <c r="J4" s="42"/>
      <c r="K4" s="42"/>
      <c r="L4" s="42"/>
      <c r="M4" s="42"/>
      <c r="N4" s="42"/>
      <c r="O4" s="43"/>
    </row>
    <row r="5" spans="2:15" ht="20.100000000000001" customHeight="1" x14ac:dyDescent="0.5">
      <c r="B5" s="41"/>
      <c r="C5" s="197"/>
      <c r="D5" s="188"/>
      <c r="E5" s="186"/>
      <c r="F5" s="42"/>
      <c r="G5" s="42"/>
      <c r="H5" s="42"/>
      <c r="I5" s="42"/>
      <c r="J5" s="42"/>
      <c r="K5" s="42"/>
      <c r="L5" s="42"/>
      <c r="M5" s="42"/>
      <c r="N5" s="42"/>
      <c r="O5" s="43"/>
    </row>
    <row r="6" spans="2:15" ht="20.100000000000001" customHeight="1" x14ac:dyDescent="0.5">
      <c r="B6" s="41"/>
      <c r="C6" s="197"/>
      <c r="D6" s="188"/>
      <c r="E6" s="186"/>
      <c r="F6" s="42"/>
      <c r="G6" s="42"/>
      <c r="H6" s="42"/>
      <c r="I6" s="42"/>
      <c r="J6" s="42"/>
      <c r="K6" s="42"/>
      <c r="L6" s="42"/>
      <c r="M6" s="42"/>
      <c r="N6" s="42"/>
      <c r="O6" s="43"/>
    </row>
    <row r="7" spans="2:15" ht="20.100000000000001" customHeight="1" x14ac:dyDescent="0.5">
      <c r="B7" s="41"/>
      <c r="C7" s="197"/>
      <c r="D7" s="188"/>
      <c r="E7" s="186"/>
      <c r="F7" s="42"/>
      <c r="G7" s="42"/>
      <c r="H7" s="42"/>
      <c r="I7" s="42"/>
      <c r="J7" s="42"/>
      <c r="K7" s="42"/>
      <c r="L7" s="42"/>
      <c r="M7" s="42"/>
      <c r="N7" s="42"/>
      <c r="O7" s="43"/>
    </row>
    <row r="8" spans="2:15" ht="20.100000000000001" customHeight="1" x14ac:dyDescent="0.5">
      <c r="B8" s="41"/>
      <c r="C8" s="197"/>
      <c r="D8" s="188"/>
      <c r="E8" s="186"/>
      <c r="F8" s="42"/>
      <c r="G8" s="42"/>
      <c r="H8" s="42"/>
      <c r="I8" s="42"/>
      <c r="J8" s="42"/>
      <c r="K8" s="42"/>
      <c r="L8" s="42"/>
      <c r="M8" s="42"/>
      <c r="N8" s="42"/>
      <c r="O8" s="43"/>
    </row>
    <row r="9" spans="2:15" ht="20.100000000000001" customHeight="1" x14ac:dyDescent="0.5">
      <c r="B9" s="41"/>
      <c r="C9" s="197"/>
      <c r="D9" s="188"/>
      <c r="E9" s="186"/>
      <c r="F9" s="42"/>
      <c r="G9" s="42"/>
      <c r="H9" s="42"/>
      <c r="I9" s="42"/>
      <c r="J9" s="42"/>
      <c r="K9" s="42"/>
      <c r="L9" s="42"/>
      <c r="M9" s="42"/>
      <c r="N9" s="42"/>
      <c r="O9" s="43"/>
    </row>
    <row r="10" spans="2:15" ht="20.100000000000001" customHeight="1" x14ac:dyDescent="0.5">
      <c r="B10" s="41"/>
      <c r="C10" s="197"/>
      <c r="D10" s="188"/>
      <c r="E10" s="186"/>
      <c r="F10" s="42"/>
      <c r="G10" s="42"/>
      <c r="H10" s="42"/>
      <c r="I10" s="42"/>
      <c r="J10" s="42"/>
      <c r="K10" s="42"/>
      <c r="L10" s="42"/>
      <c r="M10" s="42"/>
      <c r="N10" s="42"/>
      <c r="O10" s="43"/>
    </row>
    <row r="11" spans="2:15" ht="20.100000000000001" customHeight="1" x14ac:dyDescent="0.5">
      <c r="B11" s="41"/>
      <c r="C11" s="197"/>
      <c r="D11" s="188"/>
      <c r="E11" s="186"/>
      <c r="F11" s="42"/>
      <c r="G11" s="42"/>
      <c r="H11" s="42"/>
      <c r="I11" s="42"/>
      <c r="J11" s="42"/>
      <c r="K11" s="42"/>
      <c r="L11" s="42"/>
      <c r="M11" s="42"/>
      <c r="N11" s="42"/>
      <c r="O11" s="43"/>
    </row>
    <row r="12" spans="2:15" ht="20.100000000000001" customHeight="1" x14ac:dyDescent="0.5">
      <c r="B12" s="41"/>
      <c r="C12" s="197"/>
      <c r="D12" s="188"/>
      <c r="E12" s="186"/>
      <c r="F12" s="42"/>
      <c r="G12" s="42"/>
      <c r="H12" s="42"/>
      <c r="I12" s="42"/>
      <c r="J12" s="42"/>
      <c r="K12" s="42"/>
      <c r="L12" s="42"/>
      <c r="M12" s="42"/>
      <c r="N12" s="42"/>
      <c r="O12" s="43"/>
    </row>
    <row r="13" spans="2:15" ht="20.100000000000001" customHeight="1" x14ac:dyDescent="0.5">
      <c r="B13" s="41"/>
      <c r="C13" s="197"/>
      <c r="D13" s="188"/>
      <c r="E13" s="186"/>
      <c r="F13" s="42"/>
      <c r="G13" s="42"/>
      <c r="H13" s="42"/>
      <c r="I13" s="42"/>
      <c r="J13" s="42"/>
      <c r="K13" s="42"/>
      <c r="L13" s="42"/>
      <c r="M13" s="42"/>
      <c r="N13" s="42"/>
      <c r="O13" s="43"/>
    </row>
    <row r="14" spans="2:15" ht="20.100000000000001" customHeight="1" x14ac:dyDescent="0.5">
      <c r="B14" s="41"/>
      <c r="C14" s="197"/>
      <c r="D14" s="188"/>
      <c r="E14" s="186"/>
      <c r="F14" s="42"/>
      <c r="G14" s="42"/>
      <c r="H14" s="42"/>
      <c r="I14" s="42"/>
      <c r="J14" s="42"/>
      <c r="K14" s="42"/>
      <c r="L14" s="42"/>
      <c r="M14" s="42"/>
      <c r="N14" s="42"/>
      <c r="O14" s="43"/>
    </row>
    <row r="15" spans="2:15" ht="20.100000000000001" customHeight="1" x14ac:dyDescent="0.5">
      <c r="B15" s="41"/>
      <c r="C15" s="197"/>
      <c r="D15" s="188"/>
      <c r="E15" s="186"/>
      <c r="F15" s="42"/>
      <c r="G15" s="42"/>
      <c r="H15" s="42"/>
      <c r="I15" s="42"/>
      <c r="J15" s="42"/>
      <c r="K15" s="42"/>
      <c r="L15" s="42"/>
      <c r="M15" s="42"/>
      <c r="N15" s="42"/>
      <c r="O15" s="43"/>
    </row>
    <row r="16" spans="2:15" ht="20.100000000000001" customHeight="1" x14ac:dyDescent="0.5">
      <c r="B16" s="41"/>
      <c r="C16" s="197"/>
      <c r="D16" s="188"/>
      <c r="E16" s="186"/>
      <c r="F16" s="42"/>
      <c r="G16" s="42"/>
      <c r="H16" s="42"/>
      <c r="I16" s="42"/>
      <c r="J16" s="42"/>
      <c r="K16" s="42"/>
      <c r="L16" s="42"/>
      <c r="M16" s="42"/>
      <c r="N16" s="42"/>
      <c r="O16" s="43"/>
    </row>
    <row r="17" spans="2:15" ht="20.100000000000001" customHeight="1" x14ac:dyDescent="0.5">
      <c r="B17" s="41"/>
      <c r="C17" s="197"/>
      <c r="D17" s="188"/>
      <c r="E17" s="186"/>
      <c r="F17" s="42"/>
      <c r="G17" s="42"/>
      <c r="H17" s="42"/>
      <c r="I17" s="42"/>
      <c r="J17" s="42"/>
      <c r="K17" s="42"/>
      <c r="L17" s="42"/>
      <c r="M17" s="42"/>
      <c r="N17" s="42"/>
      <c r="O17" s="43"/>
    </row>
    <row r="18" spans="2:15" ht="20.100000000000001" customHeight="1" x14ac:dyDescent="0.5">
      <c r="B18" s="41"/>
      <c r="C18" s="197"/>
      <c r="D18" s="188"/>
      <c r="E18" s="186"/>
      <c r="F18" s="42"/>
      <c r="G18" s="42"/>
      <c r="H18" s="42"/>
      <c r="I18" s="42"/>
      <c r="J18" s="42"/>
      <c r="K18" s="42"/>
      <c r="L18" s="42"/>
      <c r="M18" s="42"/>
      <c r="N18" s="42"/>
      <c r="O18" s="43"/>
    </row>
    <row r="19" spans="2:15" ht="20.100000000000001" customHeight="1" x14ac:dyDescent="0.5">
      <c r="B19" s="41"/>
      <c r="C19" s="197"/>
      <c r="D19" s="188"/>
      <c r="E19" s="186"/>
      <c r="F19" s="42"/>
      <c r="G19" s="42"/>
      <c r="H19" s="42"/>
      <c r="I19" s="42"/>
      <c r="J19" s="42"/>
      <c r="K19" s="42"/>
      <c r="L19" s="42"/>
      <c r="M19" s="42"/>
      <c r="N19" s="42"/>
      <c r="O19" s="43"/>
    </row>
    <row r="20" spans="2:15" ht="20.100000000000001" customHeight="1" x14ac:dyDescent="0.5">
      <c r="B20" s="41"/>
      <c r="C20" s="197"/>
      <c r="D20" s="188"/>
      <c r="E20" s="186"/>
      <c r="F20" s="42"/>
      <c r="G20" s="42"/>
      <c r="H20" s="42"/>
      <c r="I20" s="42"/>
      <c r="J20" s="42"/>
      <c r="K20" s="42"/>
      <c r="L20" s="42"/>
      <c r="M20" s="42"/>
      <c r="N20" s="42"/>
      <c r="O20" s="43"/>
    </row>
    <row r="21" spans="2:15" ht="20.100000000000001" customHeight="1" x14ac:dyDescent="0.5">
      <c r="B21" s="44"/>
      <c r="C21" s="194"/>
      <c r="D21" s="195"/>
      <c r="E21" s="196"/>
      <c r="F21" s="45"/>
      <c r="G21" s="45"/>
      <c r="H21" s="45"/>
      <c r="I21" s="45"/>
      <c r="J21" s="45"/>
      <c r="K21" s="45"/>
      <c r="L21" s="45"/>
      <c r="M21" s="45"/>
      <c r="N21" s="45"/>
      <c r="O21" s="46"/>
    </row>
    <row r="23" spans="2:15" ht="17.25" customHeight="1" x14ac:dyDescent="0.5"/>
    <row r="24" spans="2:15" ht="22.5" customHeight="1" x14ac:dyDescent="0.5">
      <c r="C24" s="201" t="s">
        <v>67</v>
      </c>
      <c r="D24" s="191"/>
      <c r="E24" s="191"/>
      <c r="F24" s="191"/>
      <c r="G24" s="191"/>
      <c r="H24" s="191"/>
      <c r="I24" s="191"/>
      <c r="J24" s="191"/>
      <c r="K24" s="191"/>
      <c r="L24" s="191"/>
      <c r="M24" s="191"/>
      <c r="N24" s="202"/>
    </row>
    <row r="25" spans="2:15" ht="20.100000000000001" customHeight="1" x14ac:dyDescent="0.5">
      <c r="C25" s="38" t="s">
        <v>56</v>
      </c>
      <c r="D25" s="203"/>
      <c r="E25" s="188"/>
      <c r="F25" s="188"/>
      <c r="G25" s="188"/>
      <c r="H25" s="188"/>
      <c r="I25" s="188"/>
      <c r="J25" s="186"/>
      <c r="K25" s="198" t="s">
        <v>62</v>
      </c>
      <c r="L25" s="186"/>
      <c r="M25" s="199"/>
      <c r="N25" s="200"/>
    </row>
    <row r="26" spans="2:15" ht="20.100000000000001" customHeight="1" x14ac:dyDescent="0.5">
      <c r="C26" s="38" t="s">
        <v>57</v>
      </c>
      <c r="D26" s="197"/>
      <c r="E26" s="188"/>
      <c r="F26" s="186"/>
      <c r="G26" s="39" t="s">
        <v>58</v>
      </c>
      <c r="H26" s="197"/>
      <c r="I26" s="188"/>
      <c r="J26" s="186"/>
      <c r="K26" s="198" t="s">
        <v>59</v>
      </c>
      <c r="L26" s="186"/>
      <c r="M26" s="199"/>
      <c r="N26" s="200"/>
    </row>
    <row r="27" spans="2:15" ht="20.100000000000001" customHeight="1" x14ac:dyDescent="0.5">
      <c r="C27" s="38" t="s">
        <v>63</v>
      </c>
      <c r="D27" s="197"/>
      <c r="E27" s="188"/>
      <c r="F27" s="186"/>
      <c r="G27" s="39" t="s">
        <v>61</v>
      </c>
      <c r="H27" s="197"/>
      <c r="I27" s="188"/>
      <c r="J27" s="186"/>
      <c r="K27" s="198" t="s">
        <v>59</v>
      </c>
      <c r="L27" s="186"/>
      <c r="M27" s="199"/>
      <c r="N27" s="200"/>
    </row>
    <row r="28" spans="2:15" ht="20.100000000000001" customHeight="1" x14ac:dyDescent="0.5">
      <c r="C28" s="38" t="s">
        <v>24</v>
      </c>
      <c r="D28" s="39" t="s">
        <v>68</v>
      </c>
      <c r="E28" s="198" t="s">
        <v>69</v>
      </c>
      <c r="F28" s="188"/>
      <c r="G28" s="188"/>
      <c r="H28" s="186"/>
      <c r="I28" s="198" t="s">
        <v>70</v>
      </c>
      <c r="J28" s="188"/>
      <c r="K28" s="188"/>
      <c r="L28" s="186"/>
      <c r="M28" s="39" t="s">
        <v>71</v>
      </c>
      <c r="N28" s="40" t="s">
        <v>66</v>
      </c>
    </row>
    <row r="29" spans="2:15" ht="20.100000000000001" customHeight="1" x14ac:dyDescent="0.5">
      <c r="C29" s="41"/>
      <c r="D29" s="42"/>
      <c r="E29" s="197"/>
      <c r="F29" s="188"/>
      <c r="G29" s="188"/>
      <c r="H29" s="186"/>
      <c r="I29" s="197"/>
      <c r="J29" s="188"/>
      <c r="K29" s="188"/>
      <c r="L29" s="186"/>
      <c r="M29" s="42"/>
      <c r="N29" s="43"/>
    </row>
    <row r="30" spans="2:15" ht="20.100000000000001" customHeight="1" x14ac:dyDescent="0.5">
      <c r="C30" s="41"/>
      <c r="D30" s="42"/>
      <c r="E30" s="197"/>
      <c r="F30" s="188"/>
      <c r="G30" s="188"/>
      <c r="H30" s="186"/>
      <c r="I30" s="197"/>
      <c r="J30" s="188"/>
      <c r="K30" s="188"/>
      <c r="L30" s="186"/>
      <c r="M30" s="42"/>
      <c r="N30" s="43"/>
    </row>
    <row r="31" spans="2:15" ht="20.100000000000001" customHeight="1" x14ac:dyDescent="0.5">
      <c r="C31" s="41"/>
      <c r="D31" s="42"/>
      <c r="E31" s="197"/>
      <c r="F31" s="188"/>
      <c r="G31" s="188"/>
      <c r="H31" s="186"/>
      <c r="I31" s="197"/>
      <c r="J31" s="188"/>
      <c r="K31" s="188"/>
      <c r="L31" s="186"/>
      <c r="M31" s="42"/>
      <c r="N31" s="43"/>
    </row>
    <row r="32" spans="2:15" ht="20.100000000000001" customHeight="1" x14ac:dyDescent="0.5">
      <c r="C32" s="41"/>
      <c r="D32" s="42"/>
      <c r="E32" s="197"/>
      <c r="F32" s="188"/>
      <c r="G32" s="188"/>
      <c r="H32" s="186"/>
      <c r="I32" s="197"/>
      <c r="J32" s="188"/>
      <c r="K32" s="188"/>
      <c r="L32" s="186"/>
      <c r="M32" s="42"/>
      <c r="N32" s="47"/>
    </row>
    <row r="33" spans="3:14" ht="20.100000000000001" customHeight="1" x14ac:dyDescent="0.5">
      <c r="C33" s="41"/>
      <c r="D33" s="42"/>
      <c r="E33" s="197"/>
      <c r="F33" s="188"/>
      <c r="G33" s="188"/>
      <c r="H33" s="186"/>
      <c r="I33" s="197"/>
      <c r="J33" s="188"/>
      <c r="K33" s="188"/>
      <c r="L33" s="186"/>
      <c r="M33" s="42"/>
      <c r="N33" s="43"/>
    </row>
    <row r="34" spans="3:14" ht="20.100000000000001" customHeight="1" x14ac:dyDescent="0.5">
      <c r="C34" s="41"/>
      <c r="D34" s="42"/>
      <c r="E34" s="197"/>
      <c r="F34" s="188"/>
      <c r="G34" s="188"/>
      <c r="H34" s="186"/>
      <c r="I34" s="197"/>
      <c r="J34" s="188"/>
      <c r="K34" s="188"/>
      <c r="L34" s="186"/>
      <c r="M34" s="42"/>
      <c r="N34" s="43"/>
    </row>
    <row r="35" spans="3:14" ht="20.100000000000001" customHeight="1" x14ac:dyDescent="0.5">
      <c r="C35" s="44"/>
      <c r="D35" s="45"/>
      <c r="E35" s="194"/>
      <c r="F35" s="195"/>
      <c r="G35" s="195"/>
      <c r="H35" s="196"/>
      <c r="I35" s="194"/>
      <c r="J35" s="195"/>
      <c r="K35" s="195"/>
      <c r="L35" s="196"/>
      <c r="M35" s="45"/>
      <c r="N35" s="46"/>
    </row>
  </sheetData>
  <mergeCells count="48">
    <mergeCell ref="B2:O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4:N24"/>
    <mergeCell ref="D25:J25"/>
    <mergeCell ref="K25:L25"/>
    <mergeCell ref="M25:N25"/>
    <mergeCell ref="D26:F26"/>
    <mergeCell ref="H26:J26"/>
    <mergeCell ref="K26:L26"/>
    <mergeCell ref="M26:N26"/>
    <mergeCell ref="D27:F27"/>
    <mergeCell ref="H27:J27"/>
    <mergeCell ref="K27:L27"/>
    <mergeCell ref="M27:N27"/>
    <mergeCell ref="E28:H28"/>
    <mergeCell ref="I28:L28"/>
    <mergeCell ref="E29:H29"/>
    <mergeCell ref="I29:L29"/>
    <mergeCell ref="E30:H30"/>
    <mergeCell ref="I30:L30"/>
    <mergeCell ref="E31:H31"/>
    <mergeCell ref="I31:L31"/>
    <mergeCell ref="E35:H35"/>
    <mergeCell ref="I35:L35"/>
    <mergeCell ref="E32:H32"/>
    <mergeCell ref="I32:L32"/>
    <mergeCell ref="E33:H33"/>
    <mergeCell ref="I33:L33"/>
    <mergeCell ref="E34:H34"/>
    <mergeCell ref="I34:L34"/>
  </mergeCells>
  <phoneticPr fontId="3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17"/>
  <sheetViews>
    <sheetView workbookViewId="0">
      <selection activeCell="L12" sqref="L12"/>
    </sheetView>
  </sheetViews>
  <sheetFormatPr defaultColWidth="8.87890625" defaultRowHeight="15" x14ac:dyDescent="0.5"/>
  <cols>
    <col min="1" max="1" width="2.3515625" style="31" customWidth="1"/>
    <col min="2" max="2" width="8.87890625" style="32" customWidth="1"/>
    <col min="3" max="3" width="25" style="31" customWidth="1"/>
    <col min="4" max="4" width="8.87890625" style="31" customWidth="1"/>
    <col min="5" max="5" width="29.52734375" style="31" customWidth="1"/>
    <col min="6" max="6" width="8.87890625" style="31" customWidth="1"/>
    <col min="7" max="16384" width="8.87890625" style="31"/>
  </cols>
  <sheetData>
    <row r="1" spans="2:5" ht="7.5" customHeight="1" x14ac:dyDescent="0.5"/>
    <row r="2" spans="2:5" ht="24.75" customHeight="1" x14ac:dyDescent="0.5">
      <c r="B2" s="33" t="s">
        <v>72</v>
      </c>
      <c r="C2" s="210"/>
      <c r="D2" s="191"/>
      <c r="E2" s="192"/>
    </row>
    <row r="3" spans="2:5" ht="23.25" customHeight="1" x14ac:dyDescent="0.5">
      <c r="B3" s="34" t="s">
        <v>73</v>
      </c>
      <c r="C3" s="208"/>
      <c r="D3" s="188"/>
      <c r="E3" s="186"/>
    </row>
    <row r="4" spans="2:5" ht="22.5" customHeight="1" x14ac:dyDescent="0.5">
      <c r="B4" s="34" t="s">
        <v>74</v>
      </c>
      <c r="C4" s="208"/>
      <c r="D4" s="188"/>
      <c r="E4" s="186"/>
    </row>
    <row r="5" spans="2:5" ht="76.5" customHeight="1" x14ac:dyDescent="0.5">
      <c r="B5" s="34" t="s">
        <v>75</v>
      </c>
      <c r="C5" s="208"/>
      <c r="D5" s="188"/>
      <c r="E5" s="186"/>
    </row>
    <row r="6" spans="2:5" ht="24" customHeight="1" x14ac:dyDescent="0.5">
      <c r="B6" s="34" t="s">
        <v>76</v>
      </c>
      <c r="C6" s="35"/>
      <c r="D6" s="36" t="s">
        <v>77</v>
      </c>
      <c r="E6" s="37"/>
    </row>
    <row r="7" spans="2:5" ht="24.95" customHeight="1" x14ac:dyDescent="0.5">
      <c r="B7" s="184" t="s">
        <v>78</v>
      </c>
      <c r="C7" s="207">
        <v>1</v>
      </c>
      <c r="D7" s="188"/>
      <c r="E7" s="186"/>
    </row>
    <row r="8" spans="2:5" ht="24.95" customHeight="1" x14ac:dyDescent="0.5">
      <c r="B8" s="205"/>
      <c r="C8" s="207">
        <v>2</v>
      </c>
      <c r="D8" s="188"/>
      <c r="E8" s="186"/>
    </row>
    <row r="9" spans="2:5" ht="24.95" customHeight="1" x14ac:dyDescent="0.5">
      <c r="B9" s="205"/>
      <c r="C9" s="207">
        <v>3</v>
      </c>
      <c r="D9" s="188"/>
      <c r="E9" s="186"/>
    </row>
    <row r="10" spans="2:5" ht="24.95" customHeight="1" x14ac:dyDescent="0.5">
      <c r="B10" s="205"/>
      <c r="C10" s="207">
        <v>4</v>
      </c>
      <c r="D10" s="188"/>
      <c r="E10" s="186"/>
    </row>
    <row r="11" spans="2:5" ht="24.95" customHeight="1" x14ac:dyDescent="0.5">
      <c r="B11" s="206"/>
      <c r="C11" s="208">
        <v>5</v>
      </c>
      <c r="D11" s="188"/>
      <c r="E11" s="186"/>
    </row>
    <row r="12" spans="2:5" ht="24.95" customHeight="1" x14ac:dyDescent="0.5">
      <c r="B12" s="184" t="s">
        <v>79</v>
      </c>
      <c r="C12" s="207">
        <v>1</v>
      </c>
      <c r="D12" s="188"/>
      <c r="E12" s="186"/>
    </row>
    <row r="13" spans="2:5" ht="24.95" customHeight="1" x14ac:dyDescent="0.5">
      <c r="B13" s="205"/>
      <c r="C13" s="207">
        <v>2</v>
      </c>
      <c r="D13" s="188"/>
      <c r="E13" s="186"/>
    </row>
    <row r="14" spans="2:5" ht="24.95" customHeight="1" x14ac:dyDescent="0.5">
      <c r="B14" s="205"/>
      <c r="C14" s="208">
        <v>3</v>
      </c>
      <c r="D14" s="188"/>
      <c r="E14" s="186"/>
    </row>
    <row r="15" spans="2:5" ht="24.95" customHeight="1" x14ac:dyDescent="0.5">
      <c r="B15" s="205"/>
      <c r="C15" s="208">
        <v>4</v>
      </c>
      <c r="D15" s="188"/>
      <c r="E15" s="186"/>
    </row>
    <row r="16" spans="2:5" ht="24.95" customHeight="1" x14ac:dyDescent="0.5">
      <c r="B16" s="205"/>
      <c r="C16" s="208">
        <v>5</v>
      </c>
      <c r="D16" s="188"/>
      <c r="E16" s="186"/>
    </row>
    <row r="17" spans="2:5" ht="24.95" customHeight="1" x14ac:dyDescent="0.5">
      <c r="B17" s="206"/>
      <c r="C17" s="209"/>
      <c r="D17" s="195"/>
      <c r="E17" s="196"/>
    </row>
  </sheetData>
  <mergeCells count="17">
    <mergeCell ref="C2:E2"/>
    <mergeCell ref="C3:E3"/>
    <mergeCell ref="C4:E4"/>
    <mergeCell ref="C5:E5"/>
    <mergeCell ref="C7:E7"/>
    <mergeCell ref="B7:B11"/>
    <mergeCell ref="B12:B17"/>
    <mergeCell ref="C13:E13"/>
    <mergeCell ref="C14:E14"/>
    <mergeCell ref="C15:E15"/>
    <mergeCell ref="C16:E16"/>
    <mergeCell ref="C17:E17"/>
    <mergeCell ref="C8:E8"/>
    <mergeCell ref="C9:E9"/>
    <mergeCell ref="C10:E10"/>
    <mergeCell ref="C11:E11"/>
    <mergeCell ref="C12:E12"/>
  </mergeCells>
  <phoneticPr fontId="3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32"/>
  <sheetViews>
    <sheetView tabSelected="1" zoomScale="85" zoomScaleNormal="145" workbookViewId="0">
      <selection activeCell="H11" sqref="H11"/>
    </sheetView>
  </sheetViews>
  <sheetFormatPr defaultColWidth="9" defaultRowHeight="15" x14ac:dyDescent="0.5"/>
  <cols>
    <col min="1" max="1" width="3.52734375" customWidth="1"/>
    <col min="2" max="2" width="3.1171875" style="20" customWidth="1"/>
    <col min="3" max="3" width="17.52734375" customWidth="1"/>
    <col min="4" max="4" width="46.46875" customWidth="1"/>
    <col min="5" max="5" width="10.87890625" customWidth="1"/>
    <col min="6" max="6" width="11.1171875" customWidth="1"/>
    <col min="7" max="7" width="15.64453125" style="21" customWidth="1"/>
    <col min="8" max="8" width="15.3515625" style="21" customWidth="1"/>
    <col min="9" max="9" width="7.234375" customWidth="1"/>
  </cols>
  <sheetData>
    <row r="1" spans="2:9" ht="9" customHeight="1" x14ac:dyDescent="0.5"/>
    <row r="2" spans="2:9" ht="27.75" customHeight="1" x14ac:dyDescent="0.8">
      <c r="B2" s="211" t="s">
        <v>80</v>
      </c>
      <c r="C2" s="191"/>
      <c r="D2" s="191"/>
      <c r="E2" s="191"/>
      <c r="F2" s="191"/>
      <c r="G2" s="191"/>
      <c r="H2" s="191"/>
      <c r="I2" s="192"/>
    </row>
    <row r="3" spans="2:9" x14ac:dyDescent="0.5">
      <c r="B3" s="22" t="s">
        <v>81</v>
      </c>
      <c r="C3" s="23" t="s">
        <v>82</v>
      </c>
      <c r="D3" s="23" t="s">
        <v>83</v>
      </c>
      <c r="E3" s="23" t="s">
        <v>84</v>
      </c>
      <c r="F3" s="23" t="s">
        <v>85</v>
      </c>
      <c r="G3" s="24" t="s">
        <v>86</v>
      </c>
      <c r="H3" s="24" t="s">
        <v>87</v>
      </c>
      <c r="I3" s="25" t="s">
        <v>71</v>
      </c>
    </row>
    <row r="4" spans="2:9" x14ac:dyDescent="0.5">
      <c r="B4" s="26">
        <v>1</v>
      </c>
      <c r="C4" s="9" t="s">
        <v>38</v>
      </c>
      <c r="D4" s="27" t="s">
        <v>123</v>
      </c>
      <c r="E4" s="27" t="s">
        <v>89</v>
      </c>
      <c r="F4" s="27" t="s">
        <v>115</v>
      </c>
      <c r="G4" s="163">
        <v>46220</v>
      </c>
      <c r="H4" s="163">
        <v>46220</v>
      </c>
      <c r="I4" s="12" t="s">
        <v>124</v>
      </c>
    </row>
    <row r="5" spans="2:9" x14ac:dyDescent="0.5">
      <c r="B5" s="26">
        <v>2</v>
      </c>
      <c r="C5" s="218" t="s">
        <v>88</v>
      </c>
      <c r="D5" s="27" t="s">
        <v>125</v>
      </c>
      <c r="E5" s="27" t="s">
        <v>89</v>
      </c>
      <c r="F5" s="27" t="s">
        <v>115</v>
      </c>
      <c r="G5" s="163">
        <v>46221</v>
      </c>
      <c r="H5" s="163"/>
      <c r="I5" s="12" t="s">
        <v>126</v>
      </c>
    </row>
    <row r="6" spans="2:9" x14ac:dyDescent="0.5">
      <c r="B6" s="26">
        <v>3</v>
      </c>
      <c r="C6" s="219"/>
      <c r="D6" s="27" t="s">
        <v>127</v>
      </c>
      <c r="E6" s="27" t="s">
        <v>89</v>
      </c>
      <c r="F6" s="27" t="s">
        <v>115</v>
      </c>
      <c r="G6" s="163">
        <v>46222</v>
      </c>
      <c r="H6" s="163"/>
      <c r="I6" s="12" t="s">
        <v>126</v>
      </c>
    </row>
    <row r="7" spans="2:9" x14ac:dyDescent="0.5">
      <c r="B7" s="26">
        <v>4</v>
      </c>
      <c r="C7" s="219"/>
      <c r="D7" s="27" t="s">
        <v>128</v>
      </c>
      <c r="E7" s="27" t="s">
        <v>89</v>
      </c>
      <c r="F7" s="27" t="s">
        <v>115</v>
      </c>
      <c r="G7" s="163">
        <v>46224</v>
      </c>
      <c r="H7" s="163"/>
      <c r="I7" s="12" t="s">
        <v>126</v>
      </c>
    </row>
    <row r="8" spans="2:9" x14ac:dyDescent="0.5">
      <c r="B8" s="26">
        <v>5</v>
      </c>
      <c r="C8" s="220"/>
      <c r="D8" s="27" t="s">
        <v>129</v>
      </c>
      <c r="E8" s="27" t="s">
        <v>89</v>
      </c>
      <c r="F8" s="27" t="s">
        <v>115</v>
      </c>
      <c r="G8" s="163">
        <v>46226</v>
      </c>
      <c r="H8" s="163"/>
      <c r="I8" s="12" t="s">
        <v>126</v>
      </c>
    </row>
    <row r="9" spans="2:9" x14ac:dyDescent="0.5">
      <c r="B9" s="26">
        <v>6</v>
      </c>
      <c r="C9" s="212" t="s">
        <v>90</v>
      </c>
      <c r="D9" s="27" t="s">
        <v>130</v>
      </c>
      <c r="E9" s="27" t="s">
        <v>92</v>
      </c>
      <c r="F9" s="27" t="s">
        <v>115</v>
      </c>
      <c r="G9" s="163">
        <v>46227</v>
      </c>
      <c r="H9" s="163"/>
      <c r="I9" s="12" t="s">
        <v>126</v>
      </c>
    </row>
    <row r="10" spans="2:9" x14ac:dyDescent="0.5">
      <c r="B10" s="26">
        <v>7</v>
      </c>
      <c r="C10" s="214"/>
      <c r="D10" s="27" t="s">
        <v>131</v>
      </c>
      <c r="E10" s="27" t="s">
        <v>89</v>
      </c>
      <c r="F10" s="27" t="s">
        <v>115</v>
      </c>
      <c r="G10" s="163">
        <v>46228</v>
      </c>
      <c r="H10" s="163"/>
      <c r="I10" s="12" t="s">
        <v>126</v>
      </c>
    </row>
    <row r="11" spans="2:9" x14ac:dyDescent="0.5">
      <c r="B11" s="26"/>
      <c r="C11" s="9" t="s">
        <v>93</v>
      </c>
      <c r="D11" s="27" t="s">
        <v>91</v>
      </c>
      <c r="E11" s="27" t="s">
        <v>89</v>
      </c>
      <c r="F11" s="27" t="s">
        <v>115</v>
      </c>
      <c r="G11" s="163">
        <v>46228</v>
      </c>
      <c r="H11" s="28"/>
      <c r="I11" s="12" t="s">
        <v>126</v>
      </c>
    </row>
    <row r="12" spans="2:9" x14ac:dyDescent="0.5">
      <c r="B12" s="26"/>
      <c r="D12" s="27"/>
      <c r="E12" s="27"/>
      <c r="F12" s="27"/>
      <c r="G12" s="28"/>
      <c r="H12" s="28"/>
      <c r="I12" s="12"/>
    </row>
    <row r="13" spans="2:9" x14ac:dyDescent="0.5">
      <c r="B13" s="26"/>
      <c r="C13" s="216"/>
      <c r="D13" s="27"/>
      <c r="E13" s="27"/>
      <c r="F13" s="27"/>
      <c r="G13" s="28"/>
      <c r="H13" s="28"/>
      <c r="I13" s="12"/>
    </row>
    <row r="14" spans="2:9" x14ac:dyDescent="0.5">
      <c r="B14" s="26"/>
      <c r="C14" s="216"/>
      <c r="D14" s="27"/>
      <c r="E14" s="27"/>
      <c r="F14" s="27"/>
      <c r="G14" s="28"/>
      <c r="H14" s="28"/>
      <c r="I14" s="12"/>
    </row>
    <row r="15" spans="2:9" x14ac:dyDescent="0.5">
      <c r="B15" s="26"/>
      <c r="C15" s="216"/>
      <c r="D15" s="27"/>
      <c r="E15" s="27"/>
      <c r="F15" s="27"/>
      <c r="G15" s="28"/>
      <c r="H15" s="28"/>
      <c r="I15" s="12"/>
    </row>
    <row r="16" spans="2:9" x14ac:dyDescent="0.5">
      <c r="B16" s="26"/>
      <c r="C16" s="216"/>
      <c r="D16" s="27"/>
      <c r="E16" s="27"/>
      <c r="F16" s="27"/>
      <c r="G16" s="28"/>
      <c r="H16" s="28"/>
      <c r="I16" s="12"/>
    </row>
    <row r="17" spans="2:9" x14ac:dyDescent="0.5">
      <c r="B17" s="26"/>
      <c r="C17" s="216"/>
      <c r="D17" s="27"/>
      <c r="E17" s="27"/>
      <c r="F17" s="27"/>
      <c r="G17" s="28"/>
      <c r="H17" s="28"/>
      <c r="I17" s="12"/>
    </row>
    <row r="18" spans="2:9" x14ac:dyDescent="0.5">
      <c r="B18" s="26"/>
      <c r="C18" s="216"/>
      <c r="D18" s="27"/>
      <c r="E18" s="27"/>
      <c r="F18" s="27"/>
      <c r="G18" s="28"/>
      <c r="H18" s="28"/>
      <c r="I18" s="12"/>
    </row>
    <row r="19" spans="2:9" x14ac:dyDescent="0.5">
      <c r="B19" s="26"/>
      <c r="C19" s="216"/>
      <c r="D19" s="27"/>
      <c r="E19" s="27"/>
      <c r="F19" s="27"/>
      <c r="G19" s="28"/>
      <c r="H19" s="28"/>
      <c r="I19" s="12"/>
    </row>
    <row r="20" spans="2:9" x14ac:dyDescent="0.5">
      <c r="B20" s="26"/>
      <c r="C20" s="216"/>
      <c r="D20" s="27"/>
      <c r="E20" s="27"/>
      <c r="F20" s="27"/>
      <c r="G20" s="28"/>
      <c r="H20" s="28"/>
      <c r="I20" s="12"/>
    </row>
    <row r="21" spans="2:9" x14ac:dyDescent="0.5">
      <c r="B21" s="26">
        <v>18</v>
      </c>
      <c r="C21" s="216"/>
      <c r="D21" s="27"/>
      <c r="F21" s="27"/>
      <c r="G21" s="28"/>
      <c r="H21" s="28"/>
      <c r="I21" s="12"/>
    </row>
    <row r="22" spans="2:9" x14ac:dyDescent="0.5">
      <c r="B22" s="26">
        <v>19</v>
      </c>
      <c r="C22" s="216"/>
      <c r="D22" s="27"/>
      <c r="F22" s="27"/>
      <c r="G22" s="28"/>
      <c r="H22" s="28"/>
      <c r="I22" s="12"/>
    </row>
    <row r="23" spans="2:9" x14ac:dyDescent="0.5">
      <c r="B23" s="26">
        <v>20</v>
      </c>
      <c r="C23" s="216"/>
      <c r="D23" s="27"/>
      <c r="F23" s="27"/>
      <c r="G23" s="28"/>
      <c r="H23" s="28"/>
      <c r="I23" s="12"/>
    </row>
    <row r="24" spans="2:9" x14ac:dyDescent="0.5">
      <c r="B24" s="26">
        <v>21</v>
      </c>
      <c r="C24" s="217"/>
      <c r="D24" s="27"/>
      <c r="F24" s="27"/>
      <c r="G24" s="28"/>
      <c r="H24" s="28"/>
      <c r="I24" s="12"/>
    </row>
    <row r="25" spans="2:9" x14ac:dyDescent="0.5">
      <c r="B25" s="26">
        <v>22</v>
      </c>
      <c r="F25" s="27"/>
      <c r="G25" s="28"/>
      <c r="H25" s="28"/>
      <c r="I25" s="12"/>
    </row>
    <row r="26" spans="2:9" x14ac:dyDescent="0.5">
      <c r="B26" s="26">
        <v>23</v>
      </c>
      <c r="F26" s="27"/>
      <c r="G26" s="28"/>
      <c r="H26" s="28"/>
      <c r="I26" s="12"/>
    </row>
    <row r="27" spans="2:9" x14ac:dyDescent="0.5">
      <c r="B27" s="26">
        <v>24</v>
      </c>
      <c r="F27" s="27"/>
      <c r="G27" s="28"/>
      <c r="H27" s="28"/>
      <c r="I27" s="12"/>
    </row>
    <row r="28" spans="2:9" x14ac:dyDescent="0.5">
      <c r="B28" s="26">
        <v>25</v>
      </c>
      <c r="C28" s="27"/>
      <c r="D28" s="27"/>
      <c r="E28" s="27"/>
      <c r="F28" s="27"/>
      <c r="G28" s="28"/>
      <c r="H28" s="28"/>
      <c r="I28" s="12"/>
    </row>
    <row r="29" spans="2:9" x14ac:dyDescent="0.5">
      <c r="B29" s="26">
        <v>26</v>
      </c>
      <c r="C29" s="27"/>
      <c r="D29" s="27"/>
      <c r="E29" s="27"/>
      <c r="F29" s="27"/>
      <c r="G29" s="28"/>
      <c r="H29" s="28"/>
      <c r="I29" s="12"/>
    </row>
    <row r="30" spans="2:9" x14ac:dyDescent="0.5">
      <c r="B30" s="26">
        <v>27</v>
      </c>
      <c r="C30" s="27"/>
      <c r="D30" s="27"/>
      <c r="E30" s="27"/>
      <c r="F30" s="27"/>
      <c r="G30" s="28"/>
      <c r="H30" s="28"/>
      <c r="I30" s="12"/>
    </row>
    <row r="31" spans="2:9" x14ac:dyDescent="0.5">
      <c r="B31" s="26">
        <v>28</v>
      </c>
      <c r="C31" s="27"/>
      <c r="D31" s="27"/>
      <c r="E31" s="27"/>
      <c r="F31" s="27"/>
      <c r="G31" s="28"/>
      <c r="H31" s="28"/>
      <c r="I31" s="12"/>
    </row>
    <row r="32" spans="2:9" ht="17.25" customHeight="1" x14ac:dyDescent="0.5">
      <c r="B32" s="29"/>
      <c r="C32" s="16"/>
      <c r="D32" s="16"/>
      <c r="E32" s="16"/>
      <c r="F32" s="16"/>
      <c r="G32" s="30"/>
      <c r="H32" s="30"/>
      <c r="I32" s="19"/>
    </row>
  </sheetData>
  <mergeCells count="3">
    <mergeCell ref="B2:I2"/>
    <mergeCell ref="C9:C10"/>
    <mergeCell ref="C5:C8"/>
  </mergeCells>
  <phoneticPr fontId="38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B9"/>
  <sheetViews>
    <sheetView workbookViewId="0">
      <selection activeCell="B5" sqref="B5"/>
    </sheetView>
  </sheetViews>
  <sheetFormatPr defaultColWidth="9" defaultRowHeight="15" x14ac:dyDescent="0.5"/>
  <sheetData>
    <row r="2" spans="2:2" x14ac:dyDescent="0.5">
      <c r="B2" t="s">
        <v>94</v>
      </c>
    </row>
    <row r="4" spans="2:2" x14ac:dyDescent="0.5">
      <c r="B4" t="s">
        <v>95</v>
      </c>
    </row>
    <row r="5" spans="2:2" x14ac:dyDescent="0.5">
      <c r="B5" t="s">
        <v>96</v>
      </c>
    </row>
    <row r="6" spans="2:2" x14ac:dyDescent="0.5">
      <c r="B6" t="s">
        <v>97</v>
      </c>
    </row>
    <row r="7" spans="2:2" x14ac:dyDescent="0.5">
      <c r="B7" t="s">
        <v>98</v>
      </c>
    </row>
    <row r="9" spans="2:2" x14ac:dyDescent="0.5">
      <c r="B9" t="s">
        <v>99</v>
      </c>
    </row>
  </sheetData>
  <phoneticPr fontId="3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H43"/>
  <sheetViews>
    <sheetView workbookViewId="0">
      <selection activeCell="D24" sqref="D24"/>
    </sheetView>
  </sheetViews>
  <sheetFormatPr defaultColWidth="9" defaultRowHeight="15" x14ac:dyDescent="0.5"/>
  <cols>
    <col min="1" max="2" width="2.76171875" customWidth="1"/>
    <col min="3" max="3" width="11.64453125" customWidth="1"/>
    <col min="4" max="4" width="43.234375" style="1" customWidth="1"/>
    <col min="5" max="5" width="19" style="1" customWidth="1"/>
    <col min="6" max="6" width="8.64453125" style="1" customWidth="1"/>
    <col min="7" max="7" width="8.64453125" style="2" customWidth="1"/>
    <col min="8" max="8" width="29.64453125" customWidth="1"/>
  </cols>
  <sheetData>
    <row r="1" spans="2:8" ht="9.75" customHeight="1" x14ac:dyDescent="0.5"/>
    <row r="2" spans="2:8" ht="30" customHeight="1" x14ac:dyDescent="1">
      <c r="B2" s="215" t="s">
        <v>100</v>
      </c>
      <c r="C2" s="191"/>
      <c r="D2" s="191"/>
      <c r="E2" s="191"/>
      <c r="F2" s="191"/>
      <c r="G2" s="191"/>
      <c r="H2" s="192"/>
    </row>
    <row r="3" spans="2:8" ht="17.25" customHeight="1" x14ac:dyDescent="0.5">
      <c r="B3" s="3" t="s">
        <v>81</v>
      </c>
      <c r="C3" s="4" t="s">
        <v>101</v>
      </c>
      <c r="D3" s="5" t="s">
        <v>102</v>
      </c>
      <c r="E3" s="5" t="s">
        <v>103</v>
      </c>
      <c r="F3" s="5" t="s">
        <v>104</v>
      </c>
      <c r="G3" s="6" t="s">
        <v>105</v>
      </c>
      <c r="H3" s="7" t="s">
        <v>106</v>
      </c>
    </row>
    <row r="4" spans="2:8" x14ac:dyDescent="0.5">
      <c r="B4" s="8">
        <v>1</v>
      </c>
      <c r="C4" s="212"/>
      <c r="D4" s="10" t="s">
        <v>107</v>
      </c>
      <c r="E4" s="10" t="s">
        <v>108</v>
      </c>
      <c r="F4" s="11" t="s">
        <v>109</v>
      </c>
      <c r="G4" s="11" t="s">
        <v>109</v>
      </c>
      <c r="H4" s="12"/>
    </row>
    <row r="5" spans="2:8" x14ac:dyDescent="0.5">
      <c r="B5" s="8">
        <v>2</v>
      </c>
      <c r="C5" s="213"/>
      <c r="D5" s="10" t="s">
        <v>110</v>
      </c>
      <c r="E5" s="10" t="s">
        <v>111</v>
      </c>
      <c r="F5" s="11" t="s">
        <v>109</v>
      </c>
      <c r="G5" s="11" t="s">
        <v>109</v>
      </c>
      <c r="H5" s="12"/>
    </row>
    <row r="6" spans="2:8" x14ac:dyDescent="0.5">
      <c r="B6" s="8">
        <v>3</v>
      </c>
      <c r="C6" s="213"/>
      <c r="D6" s="10" t="s">
        <v>112</v>
      </c>
      <c r="E6" s="10" t="s">
        <v>113</v>
      </c>
      <c r="F6" s="11" t="s">
        <v>109</v>
      </c>
      <c r="G6" s="11" t="s">
        <v>109</v>
      </c>
      <c r="H6" s="12"/>
    </row>
    <row r="7" spans="2:8" x14ac:dyDescent="0.5">
      <c r="B7" s="8">
        <v>4</v>
      </c>
      <c r="C7" s="213"/>
      <c r="D7" s="10"/>
      <c r="E7" s="10" t="s">
        <v>113</v>
      </c>
      <c r="F7" s="11" t="s">
        <v>109</v>
      </c>
      <c r="G7" s="11" t="s">
        <v>109</v>
      </c>
      <c r="H7" s="12"/>
    </row>
    <row r="8" spans="2:8" x14ac:dyDescent="0.5">
      <c r="B8" s="8">
        <v>5</v>
      </c>
      <c r="C8" s="213"/>
      <c r="D8" s="10"/>
      <c r="E8" s="10"/>
      <c r="F8" s="11"/>
      <c r="G8" s="11"/>
      <c r="H8" s="12"/>
    </row>
    <row r="9" spans="2:8" x14ac:dyDescent="0.5">
      <c r="B9" s="8">
        <v>6</v>
      </c>
      <c r="C9" s="213"/>
      <c r="D9" s="10"/>
      <c r="E9" s="10"/>
      <c r="F9" s="11"/>
      <c r="G9" s="11"/>
      <c r="H9" s="12"/>
    </row>
    <row r="10" spans="2:8" x14ac:dyDescent="0.5">
      <c r="B10" s="8">
        <v>7</v>
      </c>
      <c r="C10" s="213"/>
      <c r="D10" s="10"/>
      <c r="E10" s="10"/>
      <c r="F10" s="11"/>
      <c r="G10" s="11"/>
      <c r="H10" s="12"/>
    </row>
    <row r="11" spans="2:8" x14ac:dyDescent="0.5">
      <c r="B11" s="8">
        <v>8</v>
      </c>
      <c r="C11" s="213"/>
      <c r="D11" s="10"/>
      <c r="E11" s="10"/>
      <c r="F11" s="11"/>
      <c r="G11" s="11"/>
      <c r="H11" s="12"/>
    </row>
    <row r="12" spans="2:8" x14ac:dyDescent="0.5">
      <c r="B12" s="8">
        <v>9</v>
      </c>
      <c r="C12" s="213"/>
      <c r="D12" s="10"/>
      <c r="E12" s="10"/>
      <c r="F12" s="11"/>
      <c r="G12" s="11"/>
      <c r="H12" s="12"/>
    </row>
    <row r="13" spans="2:8" x14ac:dyDescent="0.5">
      <c r="B13" s="8">
        <v>10</v>
      </c>
      <c r="C13" s="213"/>
      <c r="D13" s="10"/>
      <c r="E13" s="10"/>
      <c r="F13" s="11"/>
      <c r="G13" s="11"/>
      <c r="H13" s="12"/>
    </row>
    <row r="14" spans="2:8" x14ac:dyDescent="0.5">
      <c r="B14" s="8">
        <v>11</v>
      </c>
      <c r="C14" s="213"/>
      <c r="D14" s="10"/>
      <c r="E14" s="10"/>
      <c r="F14" s="11"/>
      <c r="G14" s="11"/>
      <c r="H14" s="12"/>
    </row>
    <row r="15" spans="2:8" x14ac:dyDescent="0.5">
      <c r="B15" s="8">
        <v>12</v>
      </c>
      <c r="C15" s="213"/>
      <c r="D15" s="10"/>
      <c r="E15" s="10"/>
      <c r="F15" s="11"/>
      <c r="G15" s="11"/>
      <c r="H15" s="12"/>
    </row>
    <row r="16" spans="2:8" x14ac:dyDescent="0.5">
      <c r="B16" s="8">
        <v>13</v>
      </c>
      <c r="C16" s="213"/>
      <c r="D16" s="10"/>
      <c r="E16" s="10"/>
      <c r="F16" s="11"/>
      <c r="G16" s="11"/>
      <c r="H16" s="12"/>
    </row>
    <row r="17" spans="2:8" x14ac:dyDescent="0.5">
      <c r="B17" s="8">
        <v>14</v>
      </c>
      <c r="C17" s="213"/>
      <c r="D17" s="10"/>
      <c r="E17" s="10"/>
      <c r="F17" s="11"/>
      <c r="G17" s="11"/>
      <c r="H17" s="12"/>
    </row>
    <row r="18" spans="2:8" x14ac:dyDescent="0.5">
      <c r="B18" s="8">
        <v>15</v>
      </c>
      <c r="C18" s="213"/>
      <c r="D18" s="10"/>
      <c r="E18" s="10"/>
      <c r="F18" s="11"/>
      <c r="G18" s="11"/>
      <c r="H18" s="12"/>
    </row>
    <row r="19" spans="2:8" x14ac:dyDescent="0.5">
      <c r="B19" s="8">
        <v>16</v>
      </c>
      <c r="C19" s="213"/>
      <c r="D19" s="10"/>
      <c r="E19" s="10"/>
      <c r="F19" s="11"/>
      <c r="G19" s="11"/>
      <c r="H19" s="12"/>
    </row>
    <row r="20" spans="2:8" x14ac:dyDescent="0.5">
      <c r="B20" s="8">
        <v>17</v>
      </c>
      <c r="C20" s="213"/>
      <c r="D20" s="10"/>
      <c r="E20" s="10"/>
      <c r="F20" s="11"/>
      <c r="G20" s="11"/>
      <c r="H20" s="12"/>
    </row>
    <row r="21" spans="2:8" x14ac:dyDescent="0.5">
      <c r="B21" s="8">
        <v>18</v>
      </c>
      <c r="C21" s="214"/>
      <c r="D21" s="10"/>
      <c r="E21" s="10"/>
      <c r="F21" s="11"/>
      <c r="G21" s="11"/>
      <c r="H21" s="12"/>
    </row>
    <row r="22" spans="2:8" x14ac:dyDescent="0.5">
      <c r="B22" s="8">
        <v>19</v>
      </c>
      <c r="C22" s="212"/>
      <c r="D22" s="10"/>
      <c r="E22" s="10"/>
      <c r="F22" s="11"/>
      <c r="G22" s="11"/>
      <c r="H22" s="12"/>
    </row>
    <row r="23" spans="2:8" x14ac:dyDescent="0.5">
      <c r="B23" s="8">
        <v>20</v>
      </c>
      <c r="C23" s="213"/>
      <c r="D23" s="10"/>
      <c r="E23" s="10"/>
      <c r="F23" s="11"/>
      <c r="G23" s="11"/>
      <c r="H23" s="12"/>
    </row>
    <row r="24" spans="2:8" x14ac:dyDescent="0.5">
      <c r="B24" s="8">
        <v>21</v>
      </c>
      <c r="C24" s="213"/>
      <c r="D24" s="10"/>
      <c r="E24" s="10"/>
      <c r="F24" s="11"/>
      <c r="G24" s="11"/>
      <c r="H24" s="12"/>
    </row>
    <row r="25" spans="2:8" x14ac:dyDescent="0.5">
      <c r="B25" s="8">
        <v>22</v>
      </c>
      <c r="C25" s="213"/>
      <c r="D25" s="10"/>
      <c r="E25" s="10"/>
      <c r="F25" s="11"/>
      <c r="G25" s="11"/>
      <c r="H25" s="12"/>
    </row>
    <row r="26" spans="2:8" x14ac:dyDescent="0.5">
      <c r="B26" s="8">
        <v>23</v>
      </c>
      <c r="C26" s="213"/>
      <c r="D26" s="10"/>
      <c r="E26" s="10"/>
      <c r="F26" s="11"/>
      <c r="G26" s="11"/>
      <c r="H26" s="12"/>
    </row>
    <row r="27" spans="2:8" x14ac:dyDescent="0.5">
      <c r="B27" s="8">
        <v>24</v>
      </c>
      <c r="C27" s="213"/>
      <c r="D27" s="10"/>
      <c r="E27" s="10"/>
      <c r="F27" s="11"/>
      <c r="G27" s="11"/>
      <c r="H27" s="12"/>
    </row>
    <row r="28" spans="2:8" x14ac:dyDescent="0.5">
      <c r="B28" s="8">
        <v>25</v>
      </c>
      <c r="C28" s="213"/>
      <c r="D28" s="10"/>
      <c r="E28" s="10"/>
      <c r="F28" s="11"/>
      <c r="G28" s="11"/>
      <c r="H28" s="12"/>
    </row>
    <row r="29" spans="2:8" x14ac:dyDescent="0.5">
      <c r="B29" s="8">
        <v>26</v>
      </c>
      <c r="C29" s="213"/>
      <c r="D29" s="10"/>
      <c r="E29" s="10"/>
      <c r="F29" s="11"/>
      <c r="G29" s="11"/>
      <c r="H29" s="12"/>
    </row>
    <row r="30" spans="2:8" x14ac:dyDescent="0.5">
      <c r="B30" s="8">
        <v>27</v>
      </c>
      <c r="C30" s="213"/>
      <c r="D30" s="10"/>
      <c r="E30" s="10"/>
      <c r="F30" s="11"/>
      <c r="G30" s="11"/>
      <c r="H30" s="12"/>
    </row>
    <row r="31" spans="2:8" x14ac:dyDescent="0.5">
      <c r="B31" s="8">
        <v>28</v>
      </c>
      <c r="C31" s="213"/>
      <c r="D31" s="10"/>
      <c r="E31" s="10"/>
      <c r="F31" s="11"/>
      <c r="G31" s="11"/>
      <c r="H31" s="12"/>
    </row>
    <row r="32" spans="2:8" x14ac:dyDescent="0.5">
      <c r="B32" s="8">
        <v>29</v>
      </c>
      <c r="C32" s="214"/>
      <c r="D32" s="10"/>
      <c r="E32" s="10"/>
      <c r="F32" s="11"/>
      <c r="G32" s="11"/>
      <c r="H32" s="12"/>
    </row>
    <row r="33" spans="2:8" x14ac:dyDescent="0.5">
      <c r="B33" s="8">
        <v>30</v>
      </c>
      <c r="C33" s="212"/>
      <c r="D33" s="10"/>
      <c r="E33" s="10"/>
      <c r="F33" s="11"/>
      <c r="G33" s="11"/>
      <c r="H33" s="12"/>
    </row>
    <row r="34" spans="2:8" x14ac:dyDescent="0.5">
      <c r="B34" s="8">
        <v>31</v>
      </c>
      <c r="C34" s="213"/>
      <c r="D34" s="10"/>
      <c r="E34" s="10"/>
      <c r="F34" s="11"/>
      <c r="G34" s="11"/>
      <c r="H34" s="12"/>
    </row>
    <row r="35" spans="2:8" x14ac:dyDescent="0.5">
      <c r="B35" s="8">
        <v>32</v>
      </c>
      <c r="C35" s="213"/>
      <c r="D35" s="10"/>
      <c r="E35" s="10"/>
      <c r="F35" s="11"/>
      <c r="G35" s="11"/>
      <c r="H35" s="12"/>
    </row>
    <row r="36" spans="2:8" x14ac:dyDescent="0.5">
      <c r="B36" s="8">
        <v>33</v>
      </c>
      <c r="C36" s="213"/>
      <c r="D36" s="10"/>
      <c r="E36" s="10"/>
      <c r="F36" s="11"/>
      <c r="G36" s="11"/>
      <c r="H36" s="12"/>
    </row>
    <row r="37" spans="2:8" x14ac:dyDescent="0.5">
      <c r="B37" s="8">
        <v>34</v>
      </c>
      <c r="C37" s="213"/>
      <c r="D37" s="10"/>
      <c r="E37" s="10"/>
      <c r="F37" s="11"/>
      <c r="G37" s="11"/>
      <c r="H37" s="12"/>
    </row>
    <row r="38" spans="2:8" x14ac:dyDescent="0.5">
      <c r="B38" s="8">
        <v>35</v>
      </c>
      <c r="C38" s="213"/>
      <c r="D38" s="10"/>
      <c r="E38" s="10"/>
      <c r="F38" s="11"/>
      <c r="G38" s="11"/>
      <c r="H38" s="12"/>
    </row>
    <row r="39" spans="2:8" x14ac:dyDescent="0.5">
      <c r="B39" s="8">
        <v>36</v>
      </c>
      <c r="C39" s="213"/>
      <c r="D39" s="10"/>
      <c r="E39" s="10"/>
      <c r="F39" s="11"/>
      <c r="G39" s="11"/>
      <c r="H39" s="12"/>
    </row>
    <row r="40" spans="2:8" x14ac:dyDescent="0.5">
      <c r="B40" s="8">
        <v>37</v>
      </c>
      <c r="C40" s="213"/>
      <c r="D40" s="10"/>
      <c r="E40" s="10"/>
      <c r="F40" s="11"/>
      <c r="G40" s="11"/>
      <c r="H40" s="12"/>
    </row>
    <row r="41" spans="2:8" x14ac:dyDescent="0.5">
      <c r="B41" s="8">
        <v>38</v>
      </c>
      <c r="C41" s="213"/>
      <c r="D41" s="10"/>
      <c r="E41" s="10"/>
      <c r="F41" s="11"/>
      <c r="G41" s="11"/>
      <c r="H41" s="12"/>
    </row>
    <row r="42" spans="2:8" x14ac:dyDescent="0.5">
      <c r="B42" s="8">
        <v>39</v>
      </c>
      <c r="C42" s="214"/>
      <c r="D42" s="13"/>
      <c r="E42" s="13"/>
      <c r="F42" s="11"/>
      <c r="G42" s="11"/>
      <c r="H42" s="14"/>
    </row>
    <row r="43" spans="2:8" ht="17.25" customHeight="1" x14ac:dyDescent="0.5">
      <c r="B43" s="15"/>
      <c r="C43" s="16"/>
      <c r="D43" s="17"/>
      <c r="E43" s="17"/>
      <c r="F43" s="17"/>
      <c r="G43" s="18"/>
      <c r="H43" s="19"/>
    </row>
  </sheetData>
  <mergeCells count="4">
    <mergeCell ref="B2:H2"/>
    <mergeCell ref="C4:C21"/>
    <mergeCell ref="C22:C32"/>
    <mergeCell ref="C33:C42"/>
  </mergeCells>
  <phoneticPr fontId="38" type="noConversion"/>
  <conditionalFormatting sqref="D4:H43">
    <cfRule type="expression" dxfId="0" priority="1">
      <formula>IF($G4="完成",TRUE,FALSE)</formula>
    </cfRule>
  </conditionalFormatting>
  <dataValidations count="1">
    <dataValidation type="list" allowBlank="1" showInputMessage="1" showErrorMessage="1" sqref="G1:G1048576" xr:uid="{00000000-0002-0000-0700-000000000000}">
      <formula1>"未开始,实施中,试运行,完成"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3</vt:i4>
      </vt:variant>
    </vt:vector>
  </HeadingPairs>
  <TitlesOfParts>
    <vt:vector size="11" baseType="lpstr">
      <vt:lpstr>使用说明</vt:lpstr>
      <vt:lpstr>工作计划</vt:lpstr>
      <vt:lpstr>项目问题</vt:lpstr>
      <vt:lpstr>项目风险</vt:lpstr>
      <vt:lpstr>项目周会纪要</vt:lpstr>
      <vt:lpstr>交付物清单</vt:lpstr>
      <vt:lpstr>Sheet2</vt:lpstr>
      <vt:lpstr>功能实施进度表</vt:lpstr>
      <vt:lpstr>工作计划!Print_Titles</vt:lpstr>
      <vt:lpstr>工作计划!滚动_增量</vt:lpstr>
      <vt:lpstr>工作计划!项目_开始日期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Sherry xllx</cp:lastModifiedBy>
  <dcterms:modified xsi:type="dcterms:W3CDTF">2026-07-17T09:09:59Z</dcterms:modified>
</cp:coreProperties>
</file>